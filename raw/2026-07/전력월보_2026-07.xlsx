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전사 폴더\작업영역\성신양회\단양\99. 단양공장_공유폴더\02. 전력월보\AI분석 자료\전력월보\"/>
    </mc:Choice>
  </mc:AlternateContent>
  <xr:revisionPtr revIDLastSave="0" documentId="8_{09BDEE2A-B9EC-4B58-89B5-3EBBE7109C7E}" xr6:coauthVersionLast="36" xr6:coauthVersionMax="36" xr10:uidLastSave="{00000000-0000-0000-0000-000000000000}"/>
  <bookViews>
    <workbookView xWindow="0" yWindow="0" windowWidth="28800" windowHeight="12435" activeTab="1" xr2:uid="{A2A0DD9E-932D-4164-AF50-E9A86CA283FD}"/>
  </bookViews>
  <sheets>
    <sheet name="7월 전력월보" sheetId="1" r:id="rId1"/>
    <sheet name="합성계량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2" l="1"/>
  <c r="E23" i="2"/>
  <c r="D23" i="2"/>
  <c r="D24" i="2" s="1"/>
  <c r="E22" i="2"/>
  <c r="E24" i="2" s="1"/>
  <c r="D25" i="2" s="1"/>
  <c r="D22" i="2"/>
  <c r="G21" i="2"/>
  <c r="E18" i="2"/>
  <c r="D18" i="2"/>
  <c r="E17" i="2"/>
  <c r="E19" i="2" s="1"/>
  <c r="D17" i="2"/>
  <c r="D19" i="2" s="1"/>
  <c r="G24" i="2" s="1"/>
  <c r="G16" i="2"/>
  <c r="G17" i="2" s="1"/>
  <c r="E16" i="2"/>
  <c r="D16" i="2"/>
  <c r="E15" i="2"/>
  <c r="D15" i="2"/>
  <c r="F9" i="2"/>
  <c r="E9" i="2"/>
  <c r="D9" i="2"/>
  <c r="D10" i="2" s="1"/>
  <c r="G10" i="2" s="1"/>
  <c r="F7" i="2"/>
  <c r="E7" i="2"/>
  <c r="G7" i="2" s="1"/>
  <c r="D7" i="2"/>
  <c r="F6" i="2"/>
  <c r="F8" i="2" s="1"/>
  <c r="F10" i="2" s="1"/>
  <c r="E6" i="2"/>
  <c r="E8" i="2" s="1"/>
  <c r="E10" i="2" s="1"/>
  <c r="D6" i="2"/>
  <c r="D8" i="2" s="1"/>
  <c r="G8" i="2" s="1"/>
  <c r="B3" i="2"/>
  <c r="AI74" i="1"/>
  <c r="AH72" i="1"/>
  <c r="AH71" i="1"/>
  <c r="AH69" i="1"/>
  <c r="H66" i="1"/>
  <c r="H65" i="1"/>
  <c r="D65" i="1"/>
  <c r="T64" i="1"/>
  <c r="R64" i="1"/>
  <c r="N64" i="1"/>
  <c r="L64" i="1"/>
  <c r="L66" i="1" s="1"/>
  <c r="J64" i="1"/>
  <c r="H64" i="1"/>
  <c r="F64" i="1"/>
  <c r="D64" i="1"/>
  <c r="P63" i="1"/>
  <c r="N63" i="1"/>
  <c r="L63" i="1"/>
  <c r="H63" i="1"/>
  <c r="F63" i="1"/>
  <c r="D63" i="1"/>
  <c r="N62" i="1"/>
  <c r="P62" i="1" s="1"/>
  <c r="L62" i="1"/>
  <c r="H62" i="1"/>
  <c r="F62" i="1"/>
  <c r="D62" i="1"/>
  <c r="AI58" i="1"/>
  <c r="AD58" i="1"/>
  <c r="F58" i="1"/>
  <c r="AG57" i="1"/>
  <c r="AG59" i="1" s="1"/>
  <c r="F57" i="1"/>
  <c r="AD57" i="1" s="1"/>
  <c r="D57" i="1"/>
  <c r="AI56" i="1"/>
  <c r="AI57" i="1" s="1"/>
  <c r="AD56" i="1"/>
  <c r="F56" i="1"/>
  <c r="AG55" i="1"/>
  <c r="AD55" i="1"/>
  <c r="D55" i="1"/>
  <c r="F53" i="1"/>
  <c r="AD53" i="1" s="1"/>
  <c r="D53" i="1"/>
  <c r="AJ52" i="1"/>
  <c r="AI52" i="1"/>
  <c r="AH52" i="1"/>
  <c r="AG52" i="1"/>
  <c r="AD52" i="1"/>
  <c r="F52" i="1"/>
  <c r="D52" i="1"/>
  <c r="AJ51" i="1"/>
  <c r="AI51" i="1"/>
  <c r="AH51" i="1"/>
  <c r="AG51" i="1"/>
  <c r="AD51" i="1"/>
  <c r="F51" i="1"/>
  <c r="D51" i="1"/>
  <c r="AJ50" i="1"/>
  <c r="AI50" i="1"/>
  <c r="AH50" i="1"/>
  <c r="AG50" i="1"/>
  <c r="AD50" i="1"/>
  <c r="F50" i="1"/>
  <c r="D50" i="1"/>
  <c r="AJ49" i="1"/>
  <c r="AJ53" i="1" s="1"/>
  <c r="AI49" i="1"/>
  <c r="AI53" i="1" s="1"/>
  <c r="AH49" i="1"/>
  <c r="AH53" i="1" s="1"/>
  <c r="AG49" i="1"/>
  <c r="AG53" i="1" s="1"/>
  <c r="F49" i="1"/>
  <c r="AD49" i="1" s="1"/>
  <c r="D49" i="1"/>
  <c r="AI47" i="1"/>
  <c r="AG47" i="1"/>
  <c r="F47" i="1"/>
  <c r="D47" i="1"/>
  <c r="AD47" i="1" s="1"/>
  <c r="AJ46" i="1"/>
  <c r="AI46" i="1"/>
  <c r="AH46" i="1"/>
  <c r="AG46" i="1"/>
  <c r="AD46" i="1"/>
  <c r="AE46" i="1" s="1"/>
  <c r="G46" i="1"/>
  <c r="F46" i="1"/>
  <c r="E46" i="1"/>
  <c r="D46" i="1"/>
  <c r="AI45" i="1"/>
  <c r="AG45" i="1"/>
  <c r="AB45" i="1"/>
  <c r="AD45" i="1" s="1"/>
  <c r="Z45" i="1"/>
  <c r="X45" i="1"/>
  <c r="V45" i="1"/>
  <c r="T45" i="1"/>
  <c r="R45" i="1"/>
  <c r="P45" i="1"/>
  <c r="N45" i="1"/>
  <c r="L45" i="1"/>
  <c r="J45" i="1"/>
  <c r="H45" i="1"/>
  <c r="F45" i="1"/>
  <c r="D45" i="1"/>
  <c r="AJ43" i="1"/>
  <c r="AI43" i="1"/>
  <c r="AC43" i="1"/>
  <c r="AB43" i="1"/>
  <c r="AD43" i="1" s="1"/>
  <c r="AE43" i="1" s="1"/>
  <c r="AA43" i="1"/>
  <c r="Z43" i="1"/>
  <c r="Y43" i="1"/>
  <c r="X43" i="1"/>
  <c r="AJ42" i="1"/>
  <c r="AI42" i="1"/>
  <c r="AH42" i="1"/>
  <c r="AG42" i="1"/>
  <c r="AC42" i="1"/>
  <c r="AB42" i="1"/>
  <c r="AA42" i="1"/>
  <c r="Z42" i="1"/>
  <c r="AD42" i="1" s="1"/>
  <c r="AE42" i="1" s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J41" i="1"/>
  <c r="AI41" i="1"/>
  <c r="AH41" i="1"/>
  <c r="AG41" i="1"/>
  <c r="AG44" i="1" s="1"/>
  <c r="AG48" i="1" s="1"/>
  <c r="AG54" i="1" s="1"/>
  <c r="AD41" i="1"/>
  <c r="AE41" i="1" s="1"/>
  <c r="AC41" i="1"/>
  <c r="AB41" i="1"/>
  <c r="AA41" i="1"/>
  <c r="Z41" i="1"/>
  <c r="Z44" i="1" s="1"/>
  <c r="Z48" i="1" s="1"/>
  <c r="Z59" i="1" s="1"/>
  <c r="Y41" i="1"/>
  <c r="X41" i="1"/>
  <c r="S41" i="1"/>
  <c r="R41" i="1"/>
  <c r="AH40" i="1"/>
  <c r="AG40" i="1"/>
  <c r="W40" i="1"/>
  <c r="V40" i="1"/>
  <c r="AD40" i="1" s="1"/>
  <c r="AE40" i="1" s="1"/>
  <c r="U40" i="1"/>
  <c r="U44" i="1" s="1"/>
  <c r="T40" i="1"/>
  <c r="S40" i="1"/>
  <c r="S44" i="1" s="1"/>
  <c r="R40" i="1"/>
  <c r="R44" i="1" s="1"/>
  <c r="Q40" i="1"/>
  <c r="P40" i="1"/>
  <c r="P44" i="1" s="1"/>
  <c r="P48" i="1" s="1"/>
  <c r="P59" i="1" s="1"/>
  <c r="O40" i="1"/>
  <c r="N40" i="1"/>
  <c r="M40" i="1"/>
  <c r="L40" i="1"/>
  <c r="L44" i="1" s="1"/>
  <c r="L48" i="1" s="1"/>
  <c r="L59" i="1" s="1"/>
  <c r="K40" i="1"/>
  <c r="J40" i="1"/>
  <c r="I40" i="1"/>
  <c r="H40" i="1"/>
  <c r="G40" i="1"/>
  <c r="F40" i="1"/>
  <c r="F44" i="1" s="1"/>
  <c r="E40" i="1"/>
  <c r="D40" i="1"/>
  <c r="AJ39" i="1"/>
  <c r="AJ44" i="1" s="1"/>
  <c r="AI39" i="1"/>
  <c r="AI44" i="1" s="1"/>
  <c r="AH39" i="1"/>
  <c r="AH44" i="1" s="1"/>
  <c r="AG39" i="1"/>
  <c r="AC39" i="1"/>
  <c r="AC44" i="1" s="1"/>
  <c r="AB39" i="1"/>
  <c r="AB44" i="1" s="1"/>
  <c r="AA39" i="1"/>
  <c r="AA44" i="1" s="1"/>
  <c r="Z39" i="1"/>
  <c r="Y39" i="1"/>
  <c r="Y44" i="1" s="1"/>
  <c r="X39" i="1"/>
  <c r="X44" i="1" s="1"/>
  <c r="X48" i="1" s="1"/>
  <c r="X59" i="1" s="1"/>
  <c r="W39" i="1"/>
  <c r="W44" i="1" s="1"/>
  <c r="V39" i="1"/>
  <c r="U39" i="1"/>
  <c r="T39" i="1"/>
  <c r="T44" i="1" s="1"/>
  <c r="T48" i="1" s="1"/>
  <c r="T59" i="1" s="1"/>
  <c r="S39" i="1"/>
  <c r="R39" i="1"/>
  <c r="Q39" i="1"/>
  <c r="Q44" i="1" s="1"/>
  <c r="P39" i="1"/>
  <c r="O39" i="1"/>
  <c r="O44" i="1" s="1"/>
  <c r="N39" i="1"/>
  <c r="N44" i="1" s="1"/>
  <c r="M39" i="1"/>
  <c r="M44" i="1" s="1"/>
  <c r="L39" i="1"/>
  <c r="K39" i="1"/>
  <c r="K44" i="1" s="1"/>
  <c r="J39" i="1"/>
  <c r="AD39" i="1" s="1"/>
  <c r="AE39" i="1" s="1"/>
  <c r="I39" i="1"/>
  <c r="I44" i="1" s="1"/>
  <c r="H39" i="1"/>
  <c r="H44" i="1" s="1"/>
  <c r="G39" i="1"/>
  <c r="G44" i="1" s="1"/>
  <c r="F39" i="1"/>
  <c r="E39" i="1"/>
  <c r="E44" i="1" s="1"/>
  <c r="D39" i="1"/>
  <c r="D44" i="1" s="1"/>
  <c r="D48" i="1" s="1"/>
  <c r="AI38" i="1"/>
  <c r="AG38" i="1"/>
  <c r="O38" i="1"/>
  <c r="N38" i="1"/>
  <c r="AD38" i="1" s="1"/>
  <c r="M38" i="1"/>
  <c r="L38" i="1"/>
  <c r="I38" i="1"/>
  <c r="H38" i="1"/>
  <c r="G38" i="1"/>
  <c r="F38" i="1"/>
  <c r="D38" i="1"/>
  <c r="AJ36" i="1"/>
  <c r="AI36" i="1"/>
  <c r="O36" i="1"/>
  <c r="N36" i="1"/>
  <c r="AD36" i="1" s="1"/>
  <c r="AE36" i="1" s="1"/>
  <c r="I36" i="1"/>
  <c r="H36" i="1"/>
  <c r="AJ35" i="1"/>
  <c r="AI35" i="1"/>
  <c r="AH35" i="1"/>
  <c r="AG35" i="1"/>
  <c r="O35" i="1"/>
  <c r="N35" i="1"/>
  <c r="AD35" i="1" s="1"/>
  <c r="M35" i="1"/>
  <c r="L35" i="1"/>
  <c r="I35" i="1"/>
  <c r="H35" i="1"/>
  <c r="G35" i="1"/>
  <c r="F35" i="1"/>
  <c r="E35" i="1"/>
  <c r="D35" i="1"/>
  <c r="AJ34" i="1"/>
  <c r="AI34" i="1"/>
  <c r="AH34" i="1"/>
  <c r="AG34" i="1"/>
  <c r="O34" i="1"/>
  <c r="N34" i="1"/>
  <c r="M34" i="1"/>
  <c r="L34" i="1"/>
  <c r="I34" i="1"/>
  <c r="H34" i="1"/>
  <c r="AD34" i="1" s="1"/>
  <c r="AE34" i="1" s="1"/>
  <c r="G34" i="1"/>
  <c r="F34" i="1"/>
  <c r="E34" i="1"/>
  <c r="D34" i="1"/>
  <c r="AJ33" i="1"/>
  <c r="AI33" i="1"/>
  <c r="AH33" i="1"/>
  <c r="AG33" i="1"/>
  <c r="O33" i="1"/>
  <c r="N33" i="1"/>
  <c r="AD33" i="1" s="1"/>
  <c r="AE33" i="1" s="1"/>
  <c r="M33" i="1"/>
  <c r="L33" i="1"/>
  <c r="I33" i="1"/>
  <c r="H33" i="1"/>
  <c r="G33" i="1"/>
  <c r="F33" i="1"/>
  <c r="E33" i="1"/>
  <c r="D33" i="1"/>
  <c r="AJ32" i="1"/>
  <c r="AI32" i="1"/>
  <c r="AH32" i="1"/>
  <c r="AG32" i="1"/>
  <c r="AD32" i="1"/>
  <c r="AE32" i="1" s="1"/>
  <c r="O32" i="1"/>
  <c r="N32" i="1"/>
  <c r="M32" i="1"/>
  <c r="L32" i="1"/>
  <c r="I32" i="1"/>
  <c r="H32" i="1"/>
  <c r="G32" i="1"/>
  <c r="F32" i="1"/>
  <c r="E32" i="1"/>
  <c r="D32" i="1"/>
  <c r="AJ31" i="1"/>
  <c r="AI31" i="1"/>
  <c r="AH31" i="1"/>
  <c r="AG31" i="1"/>
  <c r="O31" i="1"/>
  <c r="N31" i="1"/>
  <c r="M31" i="1"/>
  <c r="L31" i="1"/>
  <c r="AD31" i="1" s="1"/>
  <c r="AE31" i="1" s="1"/>
  <c r="I31" i="1"/>
  <c r="H31" i="1"/>
  <c r="G31" i="1"/>
  <c r="F31" i="1"/>
  <c r="E31" i="1"/>
  <c r="D31" i="1"/>
  <c r="AJ30" i="1"/>
  <c r="AI30" i="1"/>
  <c r="AH30" i="1"/>
  <c r="AG30" i="1"/>
  <c r="O30" i="1"/>
  <c r="N30" i="1"/>
  <c r="AD30" i="1" s="1"/>
  <c r="AE30" i="1" s="1"/>
  <c r="M30" i="1"/>
  <c r="L30" i="1"/>
  <c r="I30" i="1"/>
  <c r="H30" i="1"/>
  <c r="G30" i="1"/>
  <c r="F30" i="1"/>
  <c r="E30" i="1"/>
  <c r="D30" i="1"/>
  <c r="AJ29" i="1"/>
  <c r="AI29" i="1"/>
  <c r="AH29" i="1"/>
  <c r="AG29" i="1"/>
  <c r="AG37" i="1" s="1"/>
  <c r="AH38" i="1" s="1"/>
  <c r="O29" i="1"/>
  <c r="N29" i="1"/>
  <c r="M29" i="1"/>
  <c r="L29" i="1"/>
  <c r="I29" i="1"/>
  <c r="H29" i="1"/>
  <c r="AD29" i="1" s="1"/>
  <c r="AE29" i="1" s="1"/>
  <c r="G29" i="1"/>
  <c r="F29" i="1"/>
  <c r="F37" i="1" s="1"/>
  <c r="E29" i="1"/>
  <c r="D29" i="1"/>
  <c r="AJ28" i="1"/>
  <c r="AI28" i="1"/>
  <c r="AH28" i="1"/>
  <c r="AG28" i="1"/>
  <c r="O28" i="1"/>
  <c r="N28" i="1"/>
  <c r="AD28" i="1" s="1"/>
  <c r="AE28" i="1" s="1"/>
  <c r="M28" i="1"/>
  <c r="L28" i="1"/>
  <c r="I28" i="1"/>
  <c r="H28" i="1"/>
  <c r="G28" i="1"/>
  <c r="F28" i="1"/>
  <c r="E28" i="1"/>
  <c r="D28" i="1"/>
  <c r="AJ27" i="1"/>
  <c r="AI27" i="1"/>
  <c r="AH27" i="1"/>
  <c r="AG27" i="1"/>
  <c r="AD27" i="1"/>
  <c r="AE27" i="1" s="1"/>
  <c r="O27" i="1"/>
  <c r="N27" i="1"/>
  <c r="M27" i="1"/>
  <c r="L27" i="1"/>
  <c r="I27" i="1"/>
  <c r="H27" i="1"/>
  <c r="H37" i="1" s="1"/>
  <c r="G27" i="1"/>
  <c r="F27" i="1"/>
  <c r="E27" i="1"/>
  <c r="D27" i="1"/>
  <c r="AJ26" i="1"/>
  <c r="AJ37" i="1" s="1"/>
  <c r="AI26" i="1"/>
  <c r="AI37" i="1" s="1"/>
  <c r="AJ38" i="1" s="1"/>
  <c r="AH26" i="1"/>
  <c r="AH37" i="1" s="1"/>
  <c r="AG26" i="1"/>
  <c r="O26" i="1"/>
  <c r="O37" i="1" s="1"/>
  <c r="N26" i="1"/>
  <c r="N37" i="1" s="1"/>
  <c r="M26" i="1"/>
  <c r="M37" i="1" s="1"/>
  <c r="L26" i="1"/>
  <c r="L37" i="1" s="1"/>
  <c r="I26" i="1"/>
  <c r="I37" i="1" s="1"/>
  <c r="H26" i="1"/>
  <c r="G26" i="1"/>
  <c r="G37" i="1" s="1"/>
  <c r="F26" i="1"/>
  <c r="E26" i="1"/>
  <c r="E37" i="1" s="1"/>
  <c r="D26" i="1"/>
  <c r="D37" i="1" s="1"/>
  <c r="AI25" i="1"/>
  <c r="AG25" i="1"/>
  <c r="O25" i="1"/>
  <c r="N25" i="1"/>
  <c r="AD25" i="1" s="1"/>
  <c r="M25" i="1"/>
  <c r="L25" i="1"/>
  <c r="K25" i="1"/>
  <c r="J25" i="1"/>
  <c r="I25" i="1"/>
  <c r="H25" i="1"/>
  <c r="G25" i="1"/>
  <c r="F25" i="1"/>
  <c r="E25" i="1"/>
  <c r="D25" i="1"/>
  <c r="L24" i="1"/>
  <c r="J24" i="1"/>
  <c r="F24" i="1"/>
  <c r="E24" i="1"/>
  <c r="AJ23" i="1"/>
  <c r="AI23" i="1"/>
  <c r="AH23" i="1"/>
  <c r="AG23" i="1"/>
  <c r="O23" i="1"/>
  <c r="N23" i="1"/>
  <c r="M23" i="1"/>
  <c r="L23" i="1"/>
  <c r="K23" i="1"/>
  <c r="J23" i="1"/>
  <c r="AD23" i="1" s="1"/>
  <c r="AE23" i="1" s="1"/>
  <c r="I23" i="1"/>
  <c r="H23" i="1"/>
  <c r="G23" i="1"/>
  <c r="F23" i="1"/>
  <c r="E23" i="1"/>
  <c r="D23" i="1"/>
  <c r="AJ22" i="1"/>
  <c r="AI22" i="1"/>
  <c r="AH22" i="1"/>
  <c r="AG22" i="1"/>
  <c r="AD22" i="1"/>
  <c r="AE22" i="1" s="1"/>
  <c r="O22" i="1"/>
  <c r="O24" i="1" s="1"/>
  <c r="N22" i="1"/>
  <c r="M22" i="1"/>
  <c r="L22" i="1"/>
  <c r="K22" i="1"/>
  <c r="J22" i="1"/>
  <c r="I22" i="1"/>
  <c r="H22" i="1"/>
  <c r="H24" i="1" s="1"/>
  <c r="G22" i="1"/>
  <c r="G24" i="1" s="1"/>
  <c r="F22" i="1"/>
  <c r="E22" i="1"/>
  <c r="D22" i="1"/>
  <c r="AJ21" i="1"/>
  <c r="AJ24" i="1" s="1"/>
  <c r="AI21" i="1"/>
  <c r="AI24" i="1" s="1"/>
  <c r="AJ25" i="1" s="1"/>
  <c r="AH21" i="1"/>
  <c r="AH24" i="1" s="1"/>
  <c r="AG21" i="1"/>
  <c r="AG24" i="1" s="1"/>
  <c r="AH25" i="1" s="1"/>
  <c r="O21" i="1"/>
  <c r="N21" i="1"/>
  <c r="AD21" i="1" s="1"/>
  <c r="AE21" i="1" s="1"/>
  <c r="AE24" i="1" s="1"/>
  <c r="M21" i="1"/>
  <c r="M24" i="1" s="1"/>
  <c r="L21" i="1"/>
  <c r="K21" i="1"/>
  <c r="K24" i="1" s="1"/>
  <c r="J21" i="1"/>
  <c r="I21" i="1"/>
  <c r="I24" i="1" s="1"/>
  <c r="H21" i="1"/>
  <c r="G21" i="1"/>
  <c r="F21" i="1"/>
  <c r="E21" i="1"/>
  <c r="D21" i="1"/>
  <c r="D24" i="1" s="1"/>
  <c r="AI20" i="1"/>
  <c r="AG20" i="1"/>
  <c r="S20" i="1"/>
  <c r="R20" i="1"/>
  <c r="AD20" i="1" s="1"/>
  <c r="Q20" i="1"/>
  <c r="P20" i="1"/>
  <c r="O20" i="1"/>
  <c r="N20" i="1"/>
  <c r="M20" i="1"/>
  <c r="L20" i="1"/>
  <c r="J20" i="1"/>
  <c r="I20" i="1"/>
  <c r="H20" i="1"/>
  <c r="G20" i="1"/>
  <c r="F20" i="1"/>
  <c r="E20" i="1"/>
  <c r="D20" i="1"/>
  <c r="AH19" i="1"/>
  <c r="AG19" i="1"/>
  <c r="AH20" i="1" s="1"/>
  <c r="Q19" i="1"/>
  <c r="P19" i="1"/>
  <c r="L19" i="1"/>
  <c r="AJ18" i="1"/>
  <c r="AI18" i="1"/>
  <c r="AH18" i="1"/>
  <c r="AG18" i="1"/>
  <c r="S18" i="1"/>
  <c r="R18" i="1"/>
  <c r="AD18" i="1" s="1"/>
  <c r="AE18" i="1" s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J17" i="1"/>
  <c r="AI17" i="1"/>
  <c r="AH17" i="1"/>
  <c r="AG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G19" i="1" s="1"/>
  <c r="F17" i="1"/>
  <c r="AD17" i="1" s="1"/>
  <c r="E17" i="1"/>
  <c r="D17" i="1"/>
  <c r="AJ16" i="1"/>
  <c r="AI16" i="1"/>
  <c r="AH16" i="1"/>
  <c r="AG16" i="1"/>
  <c r="S16" i="1"/>
  <c r="R16" i="1"/>
  <c r="R19" i="1" s="1"/>
  <c r="Q16" i="1"/>
  <c r="P16" i="1"/>
  <c r="O16" i="1"/>
  <c r="N16" i="1"/>
  <c r="M16" i="1"/>
  <c r="L16" i="1"/>
  <c r="K16" i="1"/>
  <c r="J16" i="1"/>
  <c r="I16" i="1"/>
  <c r="I19" i="1" s="1"/>
  <c r="H16" i="1"/>
  <c r="G16" i="1"/>
  <c r="F16" i="1"/>
  <c r="F19" i="1" s="1"/>
  <c r="E16" i="1"/>
  <c r="D16" i="1"/>
  <c r="AJ15" i="1"/>
  <c r="AJ19" i="1" s="1"/>
  <c r="AI15" i="1"/>
  <c r="AI19" i="1" s="1"/>
  <c r="AJ20" i="1" s="1"/>
  <c r="AH15" i="1"/>
  <c r="AG15" i="1"/>
  <c r="S15" i="1"/>
  <c r="S19" i="1" s="1"/>
  <c r="R15" i="1"/>
  <c r="Q15" i="1"/>
  <c r="P15" i="1"/>
  <c r="O15" i="1"/>
  <c r="O19" i="1" s="1"/>
  <c r="N15" i="1"/>
  <c r="N19" i="1" s="1"/>
  <c r="M15" i="1"/>
  <c r="M19" i="1" s="1"/>
  <c r="L15" i="1"/>
  <c r="K15" i="1"/>
  <c r="K19" i="1" s="1"/>
  <c r="J15" i="1"/>
  <c r="AD15" i="1" s="1"/>
  <c r="AE15" i="1" s="1"/>
  <c r="I15" i="1"/>
  <c r="H15" i="1"/>
  <c r="H19" i="1" s="1"/>
  <c r="G15" i="1"/>
  <c r="F15" i="1"/>
  <c r="E15" i="1"/>
  <c r="E19" i="1" s="1"/>
  <c r="D15" i="1"/>
  <c r="D19" i="1" s="1"/>
  <c r="AI14" i="1"/>
  <c r="AG14" i="1"/>
  <c r="I14" i="1"/>
  <c r="H14" i="1"/>
  <c r="AD14" i="1" s="1"/>
  <c r="D14" i="1"/>
  <c r="AH13" i="1"/>
  <c r="AG13" i="1"/>
  <c r="AH14" i="1" s="1"/>
  <c r="D13" i="1"/>
  <c r="E14" i="1" s="1"/>
  <c r="AH12" i="1"/>
  <c r="AG12" i="1"/>
  <c r="AD12" i="1"/>
  <c r="E12" i="1"/>
  <c r="D12" i="1"/>
  <c r="AJ11" i="1"/>
  <c r="AI11" i="1"/>
  <c r="AI13" i="1" s="1"/>
  <c r="AJ14" i="1" s="1"/>
  <c r="AH11" i="1"/>
  <c r="I11" i="1"/>
  <c r="H11" i="1"/>
  <c r="AD11" i="1" s="1"/>
  <c r="E11" i="1"/>
  <c r="E13" i="1" s="1"/>
  <c r="D11" i="1"/>
  <c r="AJ10" i="1"/>
  <c r="AI10" i="1"/>
  <c r="AH10" i="1"/>
  <c r="AD10" i="1"/>
  <c r="I10" i="1"/>
  <c r="H10" i="1"/>
  <c r="E10" i="1"/>
  <c r="D10" i="1"/>
  <c r="AJ9" i="1"/>
  <c r="AI9" i="1"/>
  <c r="AH9" i="1"/>
  <c r="I9" i="1"/>
  <c r="H9" i="1"/>
  <c r="AD9" i="1" s="1"/>
  <c r="AE9" i="1" s="1"/>
  <c r="E9" i="1"/>
  <c r="D9" i="1"/>
  <c r="AJ8" i="1"/>
  <c r="AJ13" i="1" s="1"/>
  <c r="AI8" i="1"/>
  <c r="AH8" i="1"/>
  <c r="I8" i="1"/>
  <c r="I13" i="1" s="1"/>
  <c r="H8" i="1"/>
  <c r="H13" i="1" s="1"/>
  <c r="AD13" i="1" s="1"/>
  <c r="E8" i="1"/>
  <c r="D8" i="1"/>
  <c r="K7" i="1"/>
  <c r="I7" i="1"/>
  <c r="G7" i="1"/>
  <c r="E7" i="1"/>
  <c r="A2" i="1"/>
  <c r="C31" i="2" l="1"/>
  <c r="G18" i="2"/>
  <c r="G20" i="2" s="1"/>
  <c r="D31" i="2" s="1"/>
  <c r="D34" i="2" s="1"/>
  <c r="D28" i="2"/>
  <c r="G23" i="2"/>
  <c r="G25" i="2" s="1"/>
  <c r="G12" i="2"/>
  <c r="G11" i="2"/>
  <c r="G6" i="2"/>
  <c r="AE12" i="1"/>
  <c r="H48" i="1"/>
  <c r="H59" i="1" s="1"/>
  <c r="AB48" i="1"/>
  <c r="R48" i="1"/>
  <c r="R59" i="1" s="1"/>
  <c r="AE44" i="1"/>
  <c r="AE48" i="1" s="1"/>
  <c r="D59" i="1"/>
  <c r="AH48" i="1"/>
  <c r="AH54" i="1" s="1"/>
  <c r="N48" i="1"/>
  <c r="N59" i="1" s="1"/>
  <c r="AI48" i="1"/>
  <c r="AI54" i="1" s="1"/>
  <c r="AJ48" i="1"/>
  <c r="AJ54" i="1" s="1"/>
  <c r="AE14" i="1"/>
  <c r="F48" i="1"/>
  <c r="F59" i="1" s="1"/>
  <c r="AE11" i="1"/>
  <c r="AE17" i="1"/>
  <c r="AD37" i="1"/>
  <c r="AE38" i="1" s="1"/>
  <c r="AE10" i="1"/>
  <c r="AE35" i="1"/>
  <c r="P64" i="1"/>
  <c r="V44" i="1"/>
  <c r="V48" i="1" s="1"/>
  <c r="V59" i="1" s="1"/>
  <c r="AD26" i="1"/>
  <c r="AE26" i="1" s="1"/>
  <c r="AE37" i="1" s="1"/>
  <c r="J19" i="1"/>
  <c r="AD19" i="1" s="1"/>
  <c r="AE20" i="1" s="1"/>
  <c r="N24" i="1"/>
  <c r="AD24" i="1" s="1"/>
  <c r="AE25" i="1" s="1"/>
  <c r="J44" i="1"/>
  <c r="J48" i="1" s="1"/>
  <c r="J59" i="1" s="1"/>
  <c r="AD16" i="1"/>
  <c r="AE16" i="1" s="1"/>
  <c r="AE19" i="1" s="1"/>
  <c r="AD8" i="1"/>
  <c r="AE8" i="1" s="1"/>
  <c r="AE13" i="1" s="1"/>
  <c r="F31" i="2" l="1"/>
  <c r="E31" i="2"/>
  <c r="E28" i="2" s="1"/>
  <c r="F28" i="2" s="1"/>
  <c r="AI59" i="1"/>
  <c r="AB59" i="1"/>
  <c r="AD59" i="1" s="1"/>
  <c r="AD48" i="1"/>
  <c r="AD54" i="1" s="1"/>
  <c r="AD44" i="1"/>
  <c r="G31" i="2" l="1"/>
  <c r="B31" i="2" s="1"/>
  <c r="AH70" i="1"/>
  <c r="AH73" i="1" s="1"/>
  <c r="AH74" i="1" s="1"/>
  <c r="AI64" i="1"/>
  <c r="AI66" i="1"/>
  <c r="AE51" i="1"/>
  <c r="AE49" i="1"/>
  <c r="AE50" i="1"/>
  <c r="AE52" i="1"/>
  <c r="AI65" i="1" l="1"/>
  <c r="AE53" i="1"/>
  <c r="AE54" i="1" s="1"/>
  <c r="AG64" i="1" s="1"/>
  <c r="AG66" i="1"/>
  <c r="AG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최민기</author>
    <author>민경문</author>
    <author>이은구</author>
  </authors>
  <commentList>
    <comment ref="H11" authorId="0" shapeId="0" xr:uid="{55920093-9A14-4EC4-A6B8-6C3AAFA7A965}">
      <text>
        <r>
          <rPr>
            <b/>
            <sz val="9"/>
            <color indexed="81"/>
            <rFont val="돋움"/>
            <family val="3"/>
            <charset val="129"/>
          </rPr>
          <t>최민기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8539</t>
        </r>
      </text>
    </comment>
    <comment ref="E14" authorId="1" shapeId="0" xr:uid="{07C4F3D7-AE12-41FF-BABB-153DFCA361E8}">
      <text>
        <r>
          <rPr>
            <b/>
            <sz val="10"/>
            <color indexed="81"/>
            <rFont val="Tahoma"/>
            <family val="2"/>
          </rPr>
          <t xml:space="preserve">FACTOR </t>
        </r>
        <r>
          <rPr>
            <b/>
            <sz val="10"/>
            <color indexed="81"/>
            <rFont val="돋움"/>
            <family val="3"/>
            <charset val="129"/>
          </rPr>
          <t>미적용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원단위</t>
        </r>
        <r>
          <rPr>
            <b/>
            <sz val="10"/>
            <color indexed="81"/>
            <rFont val="Tahoma"/>
            <family val="2"/>
          </rPr>
          <t xml:space="preserve">
(</t>
        </r>
        <r>
          <rPr>
            <b/>
            <sz val="10"/>
            <color indexed="81"/>
            <rFont val="돋움"/>
            <family val="3"/>
            <charset val="129"/>
          </rPr>
          <t>초록색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바탕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남색글씨</t>
        </r>
        <r>
          <rPr>
            <b/>
            <sz val="10"/>
            <color indexed="81"/>
            <rFont val="Tahoma"/>
            <family val="2"/>
          </rPr>
          <t>,</t>
        </r>
        <r>
          <rPr>
            <b/>
            <sz val="10"/>
            <color indexed="81"/>
            <rFont val="돋움"/>
            <family val="3"/>
            <charset val="129"/>
          </rPr>
          <t>진하게</t>
        </r>
        <r>
          <rPr>
            <b/>
            <sz val="10"/>
            <color indexed="81"/>
            <rFont val="Tahoma"/>
            <family val="2"/>
          </rPr>
          <t>)</t>
        </r>
      </text>
    </comment>
    <comment ref="D51" authorId="2" shapeId="0" xr:uid="{9DDCE6DA-FAE4-4919-94F8-F1E7FE7DF981}">
      <text>
        <r>
          <rPr>
            <b/>
            <sz val="9"/>
            <color indexed="81"/>
            <rFont val="돋움"/>
            <family val="3"/>
            <charset val="129"/>
          </rPr>
          <t>=공업용수 + 공작실&amp;본·별관</t>
        </r>
      </text>
    </comment>
    <comment ref="F51" authorId="2" shapeId="0" xr:uid="{2FCBB861-6D5C-4F90-AC2D-C2288F5F4C74}">
      <text>
        <r>
          <rPr>
            <sz val="9"/>
            <color indexed="81"/>
            <rFont val="돋움"/>
            <family val="3"/>
            <charset val="129"/>
          </rPr>
          <t>성우장&amp;성락장 + 공업용수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권범진</author>
    <author>민경문</author>
    <author>SSCEM</author>
    <author>Administrator</author>
  </authors>
  <commentList>
    <comment ref="G15" authorId="0" shapeId="0" xr:uid="{FAF57C41-24EE-48D9-A2E6-2BB4BC32E0DC}">
      <text>
        <r>
          <rPr>
            <b/>
            <sz val="9"/>
            <color indexed="81"/>
            <rFont val="돋움"/>
            <family val="3"/>
            <charset val="129"/>
          </rPr>
          <t xml:space="preserve">* 전력피크 현황 *
</t>
        </r>
        <r>
          <rPr>
            <u/>
            <sz val="9"/>
            <color indexed="81"/>
            <rFont val="돋움"/>
            <family val="3"/>
            <charset val="129"/>
          </rPr>
          <t>※ 자고객 차감 : 대표고객의 계약전력은 전체 계약전력에서 공동이용 고객의 계약전력을 차감하여 산정 Kepco하며, 최대수요전력도 동일하게 자고객 몫을 뺀 값으로 기본요금을 부과합니다.</t>
        </r>
        <r>
          <rPr>
            <b/>
            <sz val="9"/>
            <color indexed="81"/>
            <rFont val="돋움"/>
            <family val="3"/>
            <charset val="129"/>
          </rPr>
          <t xml:space="preserve">
                    당월   적용(PEAK)   자고객 차감
2024년 : 1월 - 97,529 / 100,913  /  
           2월 - 97,754 / 100,911  /  
           7월 - 91,347 / 100,911  /  
           8월 - 88,615 / 100,911  /  
           9월 - 84,672 / 100,911  /  
          12월 - 86,284 /  97,641  /  
2025년 : 1월 - 87,584 /  97,642(97,754)  /     -112
           2월 - 87,628 /  92,624(92,736)  /     -112
           7월 - 90,854 /  92,567(92,736)  /     -169  
           8월 - 88,122 /  92,567(92,736)  /     -169
           9월 - 89,600 /  90,685(90,854)  /     -169
          12월 - 90,808 /  90,685(90,854)  /     -169
2026년 : 1월 - 81,312 /  90,681(90,854)  /     -173
           2월 - 75,712 /  90,681(90,854)  /     -173 
『요금 적용전력 Peak = Peak - 자고객 차감 요금적용전력』</t>
        </r>
      </text>
    </comment>
    <comment ref="G17" authorId="1" shapeId="0" xr:uid="{55EAB89F-499E-475A-9B7F-AABC76FFBA71}">
      <text>
        <r>
          <rPr>
            <sz val="9"/>
            <color indexed="81"/>
            <rFont val="돋움"/>
            <family val="3"/>
            <charset val="129"/>
          </rPr>
          <t xml:space="preserve">기본공급약관 시행세칙 16조(고객 변압기설비의 공동이용), 49조 (요금적용전력의 결정) 근거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" authorId="2" shapeId="0" xr:uid="{CB1BFD7F-1913-4937-9C04-8EED0BB52F57}">
      <text>
        <r>
          <rPr>
            <b/>
            <sz val="9"/>
            <color indexed="81"/>
            <rFont val="돋움"/>
            <family val="3"/>
            <charset val="129"/>
          </rPr>
          <t>2025년 2월 기준 
역률
변경 사항</t>
        </r>
        <r>
          <rPr>
            <sz val="9"/>
            <color indexed="81"/>
            <rFont val="돋움"/>
            <family val="3"/>
            <charset val="129"/>
          </rPr>
          <t xml:space="preserve">
역률 1% 당 기본요금 1% 저감
-&gt; 역률 1% 당 기본요금 0.5% 저감 변경
</t>
        </r>
        <r>
          <rPr>
            <b/>
            <sz val="9"/>
            <color indexed="81"/>
            <rFont val="돋움"/>
            <family val="3"/>
            <charset val="129"/>
          </rPr>
          <t xml:space="preserve">2014년 8월 변경 사항
</t>
        </r>
        <r>
          <rPr>
            <sz val="9"/>
            <color indexed="81"/>
            <rFont val="돋움"/>
            <family val="3"/>
            <charset val="129"/>
          </rPr>
          <t>역률 1% 당 기본요금 0.5% 저감
-&gt; 역률 1% 당 기본요금 0.2% 저감 변경</t>
        </r>
      </text>
    </comment>
    <comment ref="G19" authorId="2" shapeId="0" xr:uid="{DF11A95F-0E58-461D-911F-FDCCD6090AB9}">
      <text>
        <r>
          <rPr>
            <sz val="9"/>
            <color indexed="81"/>
            <rFont val="굴림"/>
            <family val="3"/>
            <charset val="129"/>
          </rPr>
          <t>가마감(가중치 미반영) : ='2.기존ESS'!C31+'2.MTR#4 ESS'!C31+'2.MTR#3 ESS'!C31
마감(가중치 반영) : ='2.기존ESS'!C32+'2.MTR#4 ESS'!C32+'2.MTR#3 ESS'!C32</t>
        </r>
      </text>
    </comment>
    <comment ref="E31" authorId="3" shapeId="0" xr:uid="{E0B6B29E-427A-4562-8580-412A94197687}">
      <text>
        <r>
          <rPr>
            <b/>
            <sz val="9"/>
            <color indexed="81"/>
            <rFont val="Tahoma"/>
            <family val="2"/>
          </rPr>
          <t>25.07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2.7% </t>
        </r>
        <r>
          <rPr>
            <b/>
            <sz val="9"/>
            <color indexed="81"/>
            <rFont val="돋움"/>
            <family val="3"/>
            <charset val="129"/>
          </rPr>
          <t xml:space="preserve">인하
</t>
        </r>
        <r>
          <rPr>
            <b/>
            <sz val="9"/>
            <color indexed="81"/>
            <rFont val="Tahoma"/>
            <family val="2"/>
          </rPr>
          <t xml:space="preserve">(3.2%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2.7%)</t>
        </r>
      </text>
    </comment>
    <comment ref="D32" authorId="1" shapeId="0" xr:uid="{FE3F72C1-FE7B-4F25-86EC-3ACF04E4631D}">
      <text>
        <r>
          <rPr>
            <b/>
            <sz val="9"/>
            <color indexed="81"/>
            <rFont val="Tahoma"/>
            <family val="2"/>
          </rPr>
          <t>2023.07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자동이체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</t>
        </r>
        <r>
          <rPr>
            <b/>
            <sz val="9"/>
            <color indexed="81"/>
            <rFont val="Tahoma"/>
            <family val="2"/>
          </rPr>
          <t xml:space="preserve"> 500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폐지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2024.01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폐지</t>
        </r>
      </text>
    </comment>
  </commentList>
</comments>
</file>

<file path=xl/sharedStrings.xml><?xml version="1.0" encoding="utf-8"?>
<sst xmlns="http://schemas.openxmlformats.org/spreadsheetml/2006/main" count="231" uniqueCount="178">
  <si>
    <t xml:space="preserve"> </t>
    <phoneticPr fontId="2" type="noConversion"/>
  </si>
  <si>
    <r>
      <t>월</t>
    </r>
    <r>
      <rPr>
        <b/>
        <sz val="16"/>
        <color indexed="12"/>
        <rFont val="Arial"/>
        <family val="2"/>
      </rPr>
      <t xml:space="preserve"> </t>
    </r>
    <r>
      <rPr>
        <b/>
        <sz val="16"/>
        <color indexed="12"/>
        <rFont val="돋움"/>
        <family val="3"/>
        <charset val="129"/>
      </rPr>
      <t>전력월보</t>
    </r>
  </si>
  <si>
    <t xml:space="preserve">            구  분</t>
    <phoneticPr fontId="2" type="noConversion"/>
  </si>
  <si>
    <r>
      <t>1</t>
    </r>
    <r>
      <rPr>
        <sz val="10"/>
        <rFont val="돋움"/>
        <family val="3"/>
        <charset val="129"/>
      </rPr>
      <t>호</t>
    </r>
  </si>
  <si>
    <r>
      <t>2</t>
    </r>
    <r>
      <rPr>
        <sz val="10"/>
        <rFont val="돋움"/>
        <family val="3"/>
        <charset val="129"/>
      </rPr>
      <t>호</t>
    </r>
  </si>
  <si>
    <r>
      <t>3</t>
    </r>
    <r>
      <rPr>
        <sz val="10"/>
        <rFont val="돋움"/>
        <family val="3"/>
        <charset val="129"/>
      </rPr>
      <t>호</t>
    </r>
  </si>
  <si>
    <r>
      <t>4</t>
    </r>
    <r>
      <rPr>
        <sz val="10"/>
        <rFont val="돋움"/>
        <family val="3"/>
        <charset val="129"/>
      </rPr>
      <t>호</t>
    </r>
  </si>
  <si>
    <r>
      <t>5</t>
    </r>
    <r>
      <rPr>
        <sz val="10"/>
        <rFont val="돋움"/>
        <family val="3"/>
        <charset val="129"/>
      </rPr>
      <t>호</t>
    </r>
  </si>
  <si>
    <r>
      <t>6</t>
    </r>
    <r>
      <rPr>
        <sz val="10"/>
        <rFont val="돋움"/>
        <family val="3"/>
        <charset val="129"/>
      </rPr>
      <t>호</t>
    </r>
  </si>
  <si>
    <r>
      <t>7</t>
    </r>
    <r>
      <rPr>
        <sz val="10"/>
        <rFont val="돋움"/>
        <family val="3"/>
        <charset val="129"/>
      </rPr>
      <t>호</t>
    </r>
  </si>
  <si>
    <r>
      <t>8</t>
    </r>
    <r>
      <rPr>
        <sz val="10"/>
        <rFont val="돋움"/>
        <family val="3"/>
        <charset val="129"/>
      </rPr>
      <t>호</t>
    </r>
  </si>
  <si>
    <r>
      <t>9</t>
    </r>
    <r>
      <rPr>
        <sz val="10"/>
        <rFont val="돋움"/>
        <family val="3"/>
        <charset val="129"/>
      </rPr>
      <t>호</t>
    </r>
  </si>
  <si>
    <r>
      <t>10</t>
    </r>
    <r>
      <rPr>
        <sz val="10"/>
        <rFont val="돋움"/>
        <family val="3"/>
        <charset val="129"/>
      </rPr>
      <t>호</t>
    </r>
  </si>
  <si>
    <r>
      <t>11</t>
    </r>
    <r>
      <rPr>
        <sz val="10"/>
        <rFont val="돋움"/>
        <family val="3"/>
        <charset val="129"/>
      </rPr>
      <t>호</t>
    </r>
  </si>
  <si>
    <r>
      <t>12</t>
    </r>
    <r>
      <rPr>
        <sz val="10"/>
        <rFont val="돋움"/>
        <family val="3"/>
        <charset val="129"/>
      </rPr>
      <t>호</t>
    </r>
  </si>
  <si>
    <r>
      <t>13</t>
    </r>
    <r>
      <rPr>
        <sz val="10"/>
        <rFont val="돋움"/>
        <family val="3"/>
        <charset val="129"/>
      </rPr>
      <t>호</t>
    </r>
  </si>
  <si>
    <t>계</t>
  </si>
  <si>
    <r>
      <t>1</t>
    </r>
    <r>
      <rPr>
        <sz val="10"/>
        <rFont val="돋움"/>
        <family val="3"/>
        <charset val="129"/>
      </rPr>
      <t>공장</t>
    </r>
  </si>
  <si>
    <r>
      <t>2</t>
    </r>
    <r>
      <rPr>
        <sz val="10"/>
        <rFont val="돋움"/>
        <family val="3"/>
        <charset val="129"/>
      </rPr>
      <t>공장</t>
    </r>
  </si>
  <si>
    <t>부분</t>
    <phoneticPr fontId="11" type="noConversion"/>
  </si>
  <si>
    <t>사용량[kWh]</t>
  </si>
  <si>
    <t>kWh/t</t>
  </si>
  <si>
    <t>kwh/t</t>
    <phoneticPr fontId="11" type="noConversion"/>
  </si>
  <si>
    <t>FACTOR</t>
  </si>
  <si>
    <t>Lime stone :</t>
  </si>
  <si>
    <t>Raw mix :</t>
  </si>
  <si>
    <t>Coal :</t>
  </si>
  <si>
    <t>Clinker :</t>
  </si>
  <si>
    <t>기존
Q/R</t>
    <phoneticPr fontId="2" type="noConversion"/>
  </si>
  <si>
    <t>P/CR</t>
  </si>
  <si>
    <t>신설
Q/R</t>
    <phoneticPr fontId="2" type="noConversion"/>
  </si>
  <si>
    <t>1'RY/CR+MCC</t>
  </si>
  <si>
    <t>SEC/CR</t>
  </si>
  <si>
    <t>2'ND/CR</t>
  </si>
  <si>
    <t>3RD/CR</t>
  </si>
  <si>
    <t>3'RD/CR</t>
  </si>
  <si>
    <t>MCC 30</t>
    <phoneticPr fontId="2" type="noConversion"/>
  </si>
  <si>
    <r>
      <t>2,3</t>
    </r>
    <r>
      <rPr>
        <sz val="8"/>
        <rFont val="돋움"/>
        <family val="3"/>
        <charset val="129"/>
      </rPr>
      <t>차</t>
    </r>
    <r>
      <rPr>
        <sz val="8"/>
        <rFont val="Arial"/>
        <family val="2"/>
      </rPr>
      <t>/CR MCC</t>
    </r>
  </si>
  <si>
    <t>MCC 37</t>
    <phoneticPr fontId="2" type="noConversion"/>
  </si>
  <si>
    <t>계/Cem.원단위</t>
    <phoneticPr fontId="2" type="noConversion"/>
  </si>
  <si>
    <t>생산량/Part 원단위</t>
    <phoneticPr fontId="2" type="noConversion"/>
  </si>
  <si>
    <t>MILL</t>
  </si>
  <si>
    <t>MILL IDF</t>
  </si>
  <si>
    <t>R/M</t>
  </si>
  <si>
    <t>SEP'</t>
  </si>
  <si>
    <t>MCC</t>
  </si>
  <si>
    <t>CO/M</t>
  </si>
  <si>
    <t>KILN</t>
  </si>
  <si>
    <t>B/H IDF</t>
  </si>
  <si>
    <t>K/L IDF</t>
  </si>
  <si>
    <t>MCC45</t>
  </si>
  <si>
    <t>MCC50</t>
  </si>
  <si>
    <t>CBS</t>
    <phoneticPr fontId="2" type="noConversion"/>
  </si>
  <si>
    <t>대체연료</t>
    <phoneticPr fontId="2" type="noConversion"/>
  </si>
  <si>
    <t>K/L</t>
  </si>
  <si>
    <t>MCC55</t>
  </si>
  <si>
    <t>COOLER E/P IDF</t>
    <phoneticPr fontId="2" type="noConversion"/>
  </si>
  <si>
    <t>COMP'</t>
  </si>
  <si>
    <r>
      <t>MGP&amp;</t>
    </r>
    <r>
      <rPr>
        <sz val="10"/>
        <rFont val="돋움"/>
        <family val="3"/>
        <charset val="129"/>
      </rPr>
      <t>수송</t>
    </r>
  </si>
  <si>
    <t>B/F IDF</t>
  </si>
  <si>
    <t>C/M</t>
  </si>
  <si>
    <t>생산량</t>
  </si>
  <si>
    <t>출하</t>
  </si>
  <si>
    <t>P/A&amp;BULK</t>
  </si>
  <si>
    <r>
      <rPr>
        <b/>
        <sz val="10"/>
        <color theme="1"/>
        <rFont val="돋움"/>
        <family val="3"/>
        <charset val="129"/>
      </rPr>
      <t>사용량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소</t>
    </r>
    <r>
      <rPr>
        <b/>
        <sz val="10"/>
        <color theme="1"/>
        <rFont val="돋움"/>
        <family val="3"/>
        <charset val="129"/>
      </rPr>
      <t>계</t>
    </r>
    <phoneticPr fontId="2" type="noConversion"/>
  </si>
  <si>
    <t>POWER LOSS</t>
    <phoneticPr fontId="2" type="noConversion"/>
  </si>
  <si>
    <t>PLANT LIGHTING</t>
    <phoneticPr fontId="2" type="noConversion"/>
  </si>
  <si>
    <t>기타</t>
    <phoneticPr fontId="2" type="noConversion"/>
  </si>
  <si>
    <t>IND' WA/PU</t>
    <phoneticPr fontId="2" type="noConversion"/>
  </si>
  <si>
    <t>THE OTHER</t>
  </si>
  <si>
    <t>사용량 소계</t>
    <phoneticPr fontId="2" type="noConversion"/>
  </si>
  <si>
    <t>합</t>
    <phoneticPr fontId="2" type="noConversion"/>
  </si>
  <si>
    <t>계</t>
    <phoneticPr fontId="2" type="noConversion"/>
  </si>
  <si>
    <t>폐열</t>
  </si>
  <si>
    <t>1K &amp; 3K &amp; 5K AQC</t>
    <phoneticPr fontId="2" type="noConversion"/>
  </si>
  <si>
    <t>6K P/H &amp; AQC</t>
  </si>
  <si>
    <t>소계</t>
  </si>
  <si>
    <t>한솔골재</t>
    <phoneticPr fontId="2" type="noConversion"/>
  </si>
  <si>
    <r>
      <t>총</t>
    </r>
    <r>
      <rPr>
        <b/>
        <sz val="10"/>
        <color theme="1"/>
        <rFont val="Arial"/>
        <family val="2"/>
      </rPr>
      <t xml:space="preserve">    </t>
    </r>
    <r>
      <rPr>
        <b/>
        <sz val="10"/>
        <color theme="1"/>
        <rFont val="돋움"/>
        <family val="3"/>
        <charset val="129"/>
      </rPr>
      <t>계</t>
    </r>
  </si>
  <si>
    <r>
      <t>구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분</t>
    </r>
  </si>
  <si>
    <r>
      <t>사</t>
    </r>
    <r>
      <rPr>
        <sz val="10"/>
        <rFont val="돋움"/>
        <family val="3"/>
        <charset val="129"/>
      </rPr>
      <t>용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요</t>
    </r>
    <r>
      <rPr>
        <sz val="10"/>
        <rFont val="돋움"/>
        <family val="3"/>
        <charset val="129"/>
      </rPr>
      <t>금</t>
    </r>
    <phoneticPr fontId="2" type="noConversion"/>
  </si>
  <si>
    <r>
      <t>실수용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요금</t>
    </r>
  </si>
  <si>
    <t>부담금</t>
  </si>
  <si>
    <t>부하관리</t>
  </si>
  <si>
    <t>전력요금(원)</t>
  </si>
  <si>
    <t>부가세</t>
  </si>
  <si>
    <t>총전력요금(원)</t>
  </si>
  <si>
    <t>PEAK 전력</t>
  </si>
  <si>
    <t>적용 PEAK 전력</t>
  </si>
  <si>
    <r>
      <t>원</t>
    </r>
    <r>
      <rPr>
        <sz val="10"/>
        <rFont val="Arial"/>
        <family val="2"/>
      </rPr>
      <t>/T-CEMENT</t>
    </r>
  </si>
  <si>
    <r>
      <t>전력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단가</t>
    </r>
  </si>
  <si>
    <t>합성전력</t>
    <phoneticPr fontId="2" type="noConversion"/>
  </si>
  <si>
    <t>TOTAL</t>
  </si>
  <si>
    <t>ESS기본요금할인</t>
    <phoneticPr fontId="2" type="noConversion"/>
  </si>
  <si>
    <t>사용요금부담금</t>
    <phoneticPr fontId="2" type="noConversion"/>
  </si>
  <si>
    <r>
      <rPr>
        <sz val="10"/>
        <rFont val="돋움"/>
        <family val="3"/>
        <charset val="129"/>
      </rPr>
      <t>기본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요금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단가</t>
    </r>
    <phoneticPr fontId="2" type="noConversion"/>
  </si>
  <si>
    <t>실수용용금부담금</t>
    <phoneticPr fontId="2" type="noConversion"/>
  </si>
  <si>
    <t>ESS 납부 미포함</t>
  </si>
  <si>
    <r>
      <rPr>
        <sz val="10"/>
        <rFont val="돋움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요금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단가</t>
    </r>
    <phoneticPr fontId="2" type="noConversion"/>
  </si>
  <si>
    <t>한국전력</t>
    <phoneticPr fontId="45" type="noConversion"/>
  </si>
  <si>
    <t>계산전력</t>
    <phoneticPr fontId="45" type="noConversion"/>
  </si>
  <si>
    <t>판매사업</t>
    <phoneticPr fontId="45" type="noConversion"/>
  </si>
  <si>
    <t>ESS 방전량</t>
    <phoneticPr fontId="45" type="noConversion"/>
  </si>
  <si>
    <t>Total</t>
    <phoneticPr fontId="45" type="noConversion"/>
  </si>
  <si>
    <t>세창골재</t>
    <phoneticPr fontId="45" type="noConversion"/>
  </si>
  <si>
    <t>차이</t>
    <phoneticPr fontId="45" type="noConversion"/>
  </si>
  <si>
    <r>
      <rPr>
        <sz val="20"/>
        <color indexed="12"/>
        <rFont val="돋움"/>
        <family val="3"/>
        <charset val="129"/>
      </rPr>
      <t>단양공장</t>
    </r>
    <r>
      <rPr>
        <sz val="20"/>
        <color indexed="12"/>
        <rFont val="Arial"/>
        <family val="2"/>
      </rPr>
      <t xml:space="preserve"> </t>
    </r>
    <r>
      <rPr>
        <sz val="20"/>
        <color indexed="12"/>
        <rFont val="돋움"/>
        <family val="3"/>
        <charset val="129"/>
      </rPr>
      <t>전력요금</t>
    </r>
    <r>
      <rPr>
        <sz val="20"/>
        <color indexed="12"/>
        <rFont val="Arial"/>
        <family val="2"/>
      </rPr>
      <t xml:space="preserve"> </t>
    </r>
    <r>
      <rPr>
        <sz val="20"/>
        <color indexed="12"/>
        <rFont val="돋움"/>
        <family val="3"/>
        <charset val="129"/>
      </rPr>
      <t>계산서</t>
    </r>
    <phoneticPr fontId="2" type="noConversion"/>
  </si>
  <si>
    <r>
      <t>1,2</t>
    </r>
    <r>
      <rPr>
        <sz val="12"/>
        <rFont val="돋움"/>
        <family val="3"/>
        <charset val="129"/>
      </rPr>
      <t>공장</t>
    </r>
    <r>
      <rPr>
        <sz val="12"/>
        <rFont val="Arial"/>
        <family val="2"/>
      </rPr>
      <t xml:space="preserve"> (</t>
    </r>
    <r>
      <rPr>
        <sz val="12"/>
        <rFont val="돋움"/>
        <family val="3"/>
        <charset val="129"/>
      </rPr>
      <t>합성</t>
    </r>
    <r>
      <rPr>
        <sz val="12"/>
        <rFont val="Arial"/>
        <family val="2"/>
      </rPr>
      <t>)  PLANT</t>
    </r>
    <phoneticPr fontId="59" type="noConversion"/>
  </si>
  <si>
    <r>
      <rPr>
        <sz val="10"/>
        <rFont val="굴림"/>
        <family val="3"/>
        <charset val="129"/>
      </rPr>
      <t xml:space="preserve">전력사용량
</t>
    </r>
    <r>
      <rPr>
        <sz val="10"/>
        <rFont val="Arial"/>
        <family val="2"/>
      </rPr>
      <t xml:space="preserve">&amp;
</t>
    </r>
    <r>
      <rPr>
        <sz val="10"/>
        <rFont val="굴림"/>
        <family val="3"/>
        <charset val="129"/>
      </rPr>
      <t>사용량요금</t>
    </r>
    <phoneticPr fontId="11" type="noConversion"/>
  </si>
  <si>
    <r>
      <rPr>
        <sz val="10"/>
        <rFont val="굴림"/>
        <family val="3"/>
        <charset val="129"/>
      </rPr>
      <t>중부하</t>
    </r>
    <phoneticPr fontId="59" type="noConversion"/>
  </si>
  <si>
    <r>
      <rPr>
        <sz val="10"/>
        <rFont val="굴림"/>
        <family val="3"/>
        <charset val="129"/>
      </rPr>
      <t>최대부하</t>
    </r>
    <phoneticPr fontId="59" type="noConversion"/>
  </si>
  <si>
    <r>
      <rPr>
        <sz val="10"/>
        <rFont val="굴림"/>
        <family val="3"/>
        <charset val="129"/>
      </rPr>
      <t>경부하</t>
    </r>
    <phoneticPr fontId="59" type="noConversion"/>
  </si>
  <si>
    <r>
      <rPr>
        <sz val="10"/>
        <rFont val="굴림"/>
        <family val="3"/>
        <charset val="129"/>
      </rPr>
      <t>계</t>
    </r>
  </si>
  <si>
    <r>
      <t>1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전력량</t>
    </r>
    <phoneticPr fontId="11" type="noConversion"/>
  </si>
  <si>
    <r>
      <t>2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전력량</t>
    </r>
    <phoneticPr fontId="11" type="noConversion"/>
  </si>
  <si>
    <t>ESS 자고객 차감 제외 사유 ↓↓↓</t>
    <phoneticPr fontId="11" type="noConversion"/>
  </si>
  <si>
    <r>
      <t>1,2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전력량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합</t>
    </r>
    <phoneticPr fontId="59" type="noConversion"/>
  </si>
  <si>
    <t>fileDownload.jsp</t>
  </si>
  <si>
    <r>
      <rPr>
        <sz val="10"/>
        <rFont val="굴림"/>
        <family val="3"/>
        <charset val="129"/>
      </rPr>
      <t>요금단가</t>
    </r>
  </si>
  <si>
    <r>
      <rPr>
        <sz val="10"/>
        <rFont val="굴림"/>
        <family val="3"/>
        <charset val="129"/>
      </rPr>
      <t>사용요금</t>
    </r>
  </si>
  <si>
    <t>기후환경요금</t>
    <phoneticPr fontId="11" type="noConversion"/>
  </si>
  <si>
    <t>연료비조정액</t>
    <phoneticPr fontId="11" type="noConversion"/>
  </si>
  <si>
    <t>정산요금</t>
    <phoneticPr fontId="11" type="noConversion"/>
  </si>
  <si>
    <t xml:space="preserve">2023년 Peak </t>
    <phoneticPr fontId="11" type="noConversion"/>
  </si>
  <si>
    <r>
      <rPr>
        <sz val="10"/>
        <rFont val="굴림"/>
        <family val="3"/>
        <charset val="129"/>
      </rPr>
      <t xml:space="preserve">요금적용전력
</t>
    </r>
    <r>
      <rPr>
        <sz val="10"/>
        <rFont val="Arial"/>
        <family val="2"/>
      </rPr>
      <t xml:space="preserve">&amp;
</t>
    </r>
    <r>
      <rPr>
        <sz val="10"/>
        <rFont val="굴림"/>
        <family val="3"/>
        <charset val="129"/>
      </rPr>
      <t>수용요금</t>
    </r>
    <phoneticPr fontId="11" type="noConversion"/>
  </si>
  <si>
    <r>
      <rPr>
        <sz val="10"/>
        <rFont val="굴림"/>
        <family val="3"/>
        <charset val="129"/>
      </rPr>
      <t>중부하</t>
    </r>
    <r>
      <rPr>
        <sz val="10"/>
        <rFont val="Arial"/>
        <family val="2"/>
      </rPr>
      <t xml:space="preserve"> </t>
    </r>
    <phoneticPr fontId="59" type="noConversion"/>
  </si>
  <si>
    <r>
      <rPr>
        <sz val="10"/>
        <rFont val="굴림"/>
        <family val="3"/>
        <charset val="129"/>
      </rPr>
      <t>최대전력</t>
    </r>
    <r>
      <rPr>
        <sz val="10"/>
        <rFont val="Arial"/>
        <family val="2"/>
      </rPr>
      <t>/</t>
    </r>
    <r>
      <rPr>
        <sz val="10"/>
        <rFont val="굴림"/>
        <family val="3"/>
        <charset val="129"/>
      </rPr>
      <t>수용요금</t>
    </r>
  </si>
  <si>
    <t>2월</t>
    <phoneticPr fontId="11" type="noConversion"/>
  </si>
  <si>
    <r>
      <t>1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PEAK</t>
    </r>
    <phoneticPr fontId="59" type="noConversion"/>
  </si>
  <si>
    <r>
      <rPr>
        <sz val="10"/>
        <rFont val="돋움"/>
        <family val="3"/>
        <charset val="129"/>
      </rPr>
      <t>적용최대전력</t>
    </r>
    <phoneticPr fontId="59" type="noConversion"/>
  </si>
  <si>
    <t>3월</t>
    <phoneticPr fontId="11" type="noConversion"/>
  </si>
  <si>
    <r>
      <t>2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PEAK</t>
    </r>
    <phoneticPr fontId="59" type="noConversion"/>
  </si>
  <si>
    <r>
      <rPr>
        <sz val="10"/>
        <rFont val="굴림"/>
        <family val="3"/>
        <charset val="129"/>
      </rPr>
      <t>수용요금단가</t>
    </r>
    <phoneticPr fontId="59" type="noConversion"/>
  </si>
  <si>
    <t>4월</t>
    <phoneticPr fontId="11" type="noConversion"/>
  </si>
  <si>
    <r>
      <rPr>
        <sz val="10"/>
        <rFont val="굴림"/>
        <family val="3"/>
        <charset val="129"/>
      </rPr>
      <t>당월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합성</t>
    </r>
    <r>
      <rPr>
        <sz val="10"/>
        <rFont val="Arial"/>
        <family val="2"/>
      </rPr>
      <t xml:space="preserve"> PEAK </t>
    </r>
    <r>
      <rPr>
        <sz val="10"/>
        <rFont val="굴림"/>
        <family val="3"/>
        <charset val="129"/>
      </rPr>
      <t>지침</t>
    </r>
    <phoneticPr fontId="59" type="noConversion"/>
  </si>
  <si>
    <t>수용요금</t>
    <phoneticPr fontId="59" type="noConversion"/>
  </si>
  <si>
    <t>5월</t>
  </si>
  <si>
    <r>
      <rPr>
        <sz val="10"/>
        <rFont val="굴림"/>
        <family val="3"/>
        <charset val="129"/>
      </rPr>
      <t>전월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합성</t>
    </r>
    <r>
      <rPr>
        <sz val="10"/>
        <rFont val="Arial"/>
        <family val="2"/>
      </rPr>
      <t xml:space="preserve"> PEAK </t>
    </r>
    <r>
      <rPr>
        <sz val="10"/>
        <rFont val="굴림"/>
        <family val="3"/>
        <charset val="129"/>
      </rPr>
      <t>지침</t>
    </r>
    <phoneticPr fontId="59" type="noConversion"/>
  </si>
  <si>
    <t>역률차감금</t>
    <phoneticPr fontId="59" type="noConversion"/>
  </si>
  <si>
    <t>6월</t>
  </si>
  <si>
    <r>
      <rPr>
        <sz val="10"/>
        <rFont val="굴림"/>
        <family val="3"/>
        <charset val="129"/>
      </rPr>
      <t>합성</t>
    </r>
    <r>
      <rPr>
        <sz val="10"/>
        <rFont val="Arial"/>
        <family val="2"/>
      </rPr>
      <t xml:space="preserve"> PEAK</t>
    </r>
    <phoneticPr fontId="59" type="noConversion"/>
  </si>
  <si>
    <t>ESS기본요금 할인</t>
    <phoneticPr fontId="59" type="noConversion"/>
  </si>
  <si>
    <t>7월</t>
  </si>
  <si>
    <t>실수용금액</t>
    <phoneticPr fontId="59" type="noConversion"/>
  </si>
  <si>
    <t>8월</t>
    <phoneticPr fontId="11" type="noConversion"/>
  </si>
  <si>
    <r>
      <rPr>
        <sz val="10"/>
        <rFont val="굴림"/>
        <family val="3"/>
        <charset val="129"/>
      </rPr>
      <t xml:space="preserve">무효전력량
</t>
    </r>
    <r>
      <rPr>
        <sz val="10"/>
        <rFont val="Arial"/>
        <family val="2"/>
      </rPr>
      <t xml:space="preserve">&amp;
</t>
    </r>
    <r>
      <rPr>
        <sz val="10"/>
        <rFont val="굴림"/>
        <family val="3"/>
        <charset val="129"/>
      </rPr>
      <t>부</t>
    </r>
    <r>
      <rPr>
        <sz val="10"/>
        <rFont val="Arial"/>
        <family val="2"/>
      </rPr>
      <t xml:space="preserve">  </t>
    </r>
    <r>
      <rPr>
        <sz val="10"/>
        <rFont val="굴림"/>
        <family val="3"/>
        <charset val="129"/>
      </rPr>
      <t>하</t>
    </r>
    <r>
      <rPr>
        <sz val="10"/>
        <rFont val="Arial"/>
        <family val="2"/>
      </rPr>
      <t xml:space="preserve">  </t>
    </r>
    <r>
      <rPr>
        <sz val="10"/>
        <rFont val="굴림"/>
        <family val="3"/>
        <charset val="129"/>
      </rPr>
      <t>율</t>
    </r>
    <phoneticPr fontId="11" type="noConversion"/>
  </si>
  <si>
    <r>
      <rPr>
        <sz val="10"/>
        <rFont val="굴림"/>
        <family val="3"/>
        <charset val="129"/>
      </rPr>
      <t>부하관리</t>
    </r>
    <phoneticPr fontId="11" type="noConversion"/>
  </si>
  <si>
    <t>9월</t>
    <phoneticPr fontId="11" type="noConversion"/>
  </si>
  <si>
    <r>
      <t>1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무효량</t>
    </r>
    <phoneticPr fontId="59" type="noConversion"/>
  </si>
  <si>
    <t>10월</t>
    <phoneticPr fontId="11" type="noConversion"/>
  </si>
  <si>
    <r>
      <t>2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무효량</t>
    </r>
  </si>
  <si>
    <r>
      <rPr>
        <sz val="10"/>
        <rFont val="굴림"/>
        <family val="3"/>
        <charset val="129"/>
      </rPr>
      <t>평균전력</t>
    </r>
  </si>
  <si>
    <r>
      <rPr>
        <sz val="10"/>
        <rFont val="굴림"/>
        <family val="3"/>
        <charset val="129"/>
      </rPr>
      <t>무효총량</t>
    </r>
    <phoneticPr fontId="11" type="noConversion"/>
  </si>
  <si>
    <r>
      <rPr>
        <sz val="10"/>
        <rFont val="굴림"/>
        <family val="3"/>
        <charset val="129"/>
      </rPr>
      <t>최대전력</t>
    </r>
  </si>
  <si>
    <r>
      <t>1,2</t>
    </r>
    <r>
      <rPr>
        <sz val="10"/>
        <rFont val="굴림"/>
        <family val="3"/>
        <charset val="129"/>
      </rPr>
      <t>공장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무효총량</t>
    </r>
    <phoneticPr fontId="59" type="noConversion"/>
  </si>
  <si>
    <r>
      <rPr>
        <sz val="10"/>
        <rFont val="굴림"/>
        <family val="3"/>
        <charset val="129"/>
      </rPr>
      <t>부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하</t>
    </r>
    <r>
      <rPr>
        <sz val="10"/>
        <rFont val="Arial"/>
        <family val="2"/>
      </rPr>
      <t xml:space="preserve"> </t>
    </r>
    <r>
      <rPr>
        <sz val="10"/>
        <rFont val="굴림"/>
        <family val="3"/>
        <charset val="129"/>
      </rPr>
      <t>율</t>
    </r>
  </si>
  <si>
    <r>
      <rPr>
        <sz val="10"/>
        <rFont val="굴림"/>
        <family val="3"/>
        <charset val="129"/>
      </rPr>
      <t>역률</t>
    </r>
    <r>
      <rPr>
        <sz val="10"/>
        <rFont val="Arial"/>
        <family val="2"/>
      </rPr>
      <t xml:space="preserve"> (%)</t>
    </r>
    <phoneticPr fontId="11" type="noConversion"/>
  </si>
  <si>
    <r>
      <rPr>
        <sz val="10"/>
        <rFont val="굴림"/>
        <family val="3"/>
        <charset val="129"/>
      </rPr>
      <t>차감역률</t>
    </r>
  </si>
  <si>
    <r>
      <rPr>
        <sz val="10"/>
        <rFont val="굴림"/>
        <family val="3"/>
        <charset val="129"/>
      </rPr>
      <t>실적비교</t>
    </r>
    <phoneticPr fontId="11" type="noConversion"/>
  </si>
  <si>
    <r>
      <rPr>
        <sz val="10"/>
        <rFont val="굴림"/>
        <family val="3"/>
        <charset val="129"/>
      </rPr>
      <t>전력량</t>
    </r>
    <r>
      <rPr>
        <sz val="10"/>
        <rFont val="Arial"/>
        <family val="2"/>
      </rPr>
      <t>[KWH/</t>
    </r>
    <r>
      <rPr>
        <sz val="10"/>
        <rFont val="굴림"/>
        <family val="3"/>
        <charset val="129"/>
      </rPr>
      <t>월</t>
    </r>
    <r>
      <rPr>
        <sz val="10"/>
        <rFont val="Arial"/>
        <family val="2"/>
      </rPr>
      <t>]</t>
    </r>
    <phoneticPr fontId="11" type="noConversion"/>
  </si>
  <si>
    <r>
      <rPr>
        <sz val="10"/>
        <rFont val="굴림"/>
        <family val="3"/>
        <charset val="129"/>
      </rPr>
      <t>전력요금</t>
    </r>
    <r>
      <rPr>
        <sz val="10"/>
        <rFont val="Arial"/>
        <family val="2"/>
      </rPr>
      <t>[</t>
    </r>
    <r>
      <rPr>
        <sz val="10"/>
        <rFont val="굴림"/>
        <family val="3"/>
        <charset val="129"/>
      </rPr>
      <t>원</t>
    </r>
    <r>
      <rPr>
        <sz val="10"/>
        <rFont val="Arial"/>
        <family val="2"/>
      </rPr>
      <t>]</t>
    </r>
    <phoneticPr fontId="11" type="noConversion"/>
  </si>
  <si>
    <r>
      <rPr>
        <sz val="10"/>
        <rFont val="굴림"/>
        <family val="3"/>
        <charset val="129"/>
      </rPr>
      <t>단가</t>
    </r>
    <r>
      <rPr>
        <sz val="10"/>
        <rFont val="Arial"/>
        <family val="2"/>
      </rPr>
      <t>[</t>
    </r>
    <r>
      <rPr>
        <sz val="10"/>
        <rFont val="굴림"/>
        <family val="3"/>
        <charset val="129"/>
      </rPr>
      <t>원</t>
    </r>
    <r>
      <rPr>
        <sz val="10"/>
        <rFont val="Arial"/>
        <family val="2"/>
      </rPr>
      <t>/KWH]</t>
    </r>
    <phoneticPr fontId="11" type="noConversion"/>
  </si>
  <si>
    <t xml:space="preserve">            </t>
    <phoneticPr fontId="11" type="noConversion"/>
  </si>
  <si>
    <r>
      <rPr>
        <sz val="10"/>
        <rFont val="굴림"/>
        <family val="3"/>
        <charset val="129"/>
      </rPr>
      <t>금</t>
    </r>
    <r>
      <rPr>
        <sz val="10"/>
        <rFont val="Arial"/>
        <family val="2"/>
      </rPr>
      <t xml:space="preserve">      </t>
    </r>
    <r>
      <rPr>
        <sz val="10"/>
        <rFont val="굴림"/>
        <family val="3"/>
        <charset val="129"/>
      </rPr>
      <t>월</t>
    </r>
    <phoneticPr fontId="11" type="noConversion"/>
  </si>
  <si>
    <r>
      <t>TV</t>
    </r>
    <r>
      <rPr>
        <sz val="10"/>
        <rFont val="돋움"/>
        <family val="3"/>
        <charset val="129"/>
      </rPr>
      <t>요금</t>
    </r>
    <phoneticPr fontId="11" type="noConversion"/>
  </si>
  <si>
    <r>
      <rPr>
        <sz val="10"/>
        <rFont val="돋움"/>
        <family val="3"/>
        <charset val="129"/>
      </rPr>
      <t>전</t>
    </r>
    <r>
      <rPr>
        <sz val="10"/>
        <rFont val="Arial"/>
        <family val="2"/>
      </rPr>
      <t xml:space="preserve">      </t>
    </r>
    <r>
      <rPr>
        <sz val="10"/>
        <rFont val="돋움"/>
        <family val="3"/>
        <charset val="129"/>
      </rPr>
      <t>월</t>
    </r>
    <phoneticPr fontId="11" type="noConversion"/>
  </si>
  <si>
    <r>
      <rPr>
        <sz val="10"/>
        <rFont val="굴림"/>
        <family val="3"/>
        <charset val="129"/>
      </rPr>
      <t>전력요금</t>
    </r>
    <phoneticPr fontId="11" type="noConversion"/>
  </si>
  <si>
    <r>
      <rPr>
        <sz val="10"/>
        <rFont val="굴림"/>
        <family val="3"/>
        <charset val="129"/>
      </rPr>
      <t>사용량요금</t>
    </r>
    <phoneticPr fontId="11" type="noConversion"/>
  </si>
  <si>
    <t>기본요금(실수용)</t>
    <phoneticPr fontId="11" type="noConversion"/>
  </si>
  <si>
    <r>
      <rPr>
        <sz val="10"/>
        <rFont val="굴림"/>
        <family val="3"/>
        <charset val="129"/>
      </rPr>
      <t>부담금</t>
    </r>
    <phoneticPr fontId="11" type="noConversion"/>
  </si>
  <si>
    <r>
      <rPr>
        <sz val="10"/>
        <rFont val="굴림"/>
        <family val="3"/>
        <charset val="129"/>
      </rPr>
      <t>부가세</t>
    </r>
    <phoneticPr fontId="11" type="noConversion"/>
  </si>
  <si>
    <r>
      <rPr>
        <sz val="10"/>
        <rFont val="굴림"/>
        <family val="3"/>
        <charset val="129"/>
      </rPr>
      <t>총전력요금</t>
    </r>
    <phoneticPr fontId="11" type="noConversion"/>
  </si>
  <si>
    <r>
      <rPr>
        <sz val="10"/>
        <rFont val="돋움"/>
        <family val="3"/>
        <charset val="129"/>
      </rPr>
      <t>자동이체</t>
    </r>
    <r>
      <rPr>
        <sz val="10"/>
        <rFont val="Arial"/>
        <family val="2"/>
      </rPr>
      <t xml:space="preserve"> &amp; </t>
    </r>
    <r>
      <rPr>
        <sz val="10"/>
        <rFont val="돋움"/>
        <family val="3"/>
        <charset val="129"/>
      </rPr>
      <t>인터넷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빌링할인</t>
    </r>
    <phoneticPr fontId="11" type="noConversion"/>
  </si>
  <si>
    <t>전기요금 계</t>
    <phoneticPr fontId="15" type="noConversion"/>
  </si>
  <si>
    <t>기준 역률 (%)</t>
    <phoneticPr fontId="11" type="noConversion"/>
  </si>
  <si>
    <t>할인/할증율</t>
    <phoneticPr fontId="11" type="noConversion"/>
  </si>
  <si>
    <t>PEAK적용(25일)</t>
  </si>
  <si>
    <t>PEAK적용(6일)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</si>
</sst>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00_ ;_ * \-#,##0.0000_ ;_ * &quot;-&quot;_ ;_ @_ "/>
    <numFmt numFmtId="178" formatCode="0.0000"/>
    <numFmt numFmtId="179" formatCode="_ * #,##0.00_ ;_ * \-#,##0.00_ ;_ * &quot;-&quot;_ ;_ @_ "/>
    <numFmt numFmtId="180" formatCode="0.00_ "/>
    <numFmt numFmtId="181" formatCode="_-* #,##0_-;\-* #,##0_-;_-* &quot;-&quot;??_-;_-@_-"/>
    <numFmt numFmtId="182" formatCode="_-* #,##0.00_-;\-* #,##0.00_-;_-* &quot;-&quot;_-;_-@_-"/>
    <numFmt numFmtId="183" formatCode="#,##0.00_ "/>
    <numFmt numFmtId="184" formatCode="0.0_ "/>
    <numFmt numFmtId="185" formatCode="#,##0;[Red]&quot;-&quot;#,##0"/>
    <numFmt numFmtId="186" formatCode="#,##0.00;[Red]&quot;-&quot;#,##0.00"/>
    <numFmt numFmtId="187" formatCode="#,##0_ "/>
    <numFmt numFmtId="188" formatCode="#,##0_);[Red]\(#,##0\)"/>
    <numFmt numFmtId="189" formatCode="_ * #,##0.0_ ;_ * \-#,##0.0_ ;_ * &quot;-&quot;_ ;_ @_ "/>
    <numFmt numFmtId="190" formatCode="_ * #,##0.000_ ;_ * \-#,##0.000_ ;_ * &quot;-&quot;_ ;_ @_ "/>
    <numFmt numFmtId="191" formatCode="&quot;가마감&quot;_ * #,##0_ ;_ * \-#,##0_ ;_ * &quot;-&quot;_ ;_ @_ "/>
  </numFmts>
  <fonts count="7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indexed="10"/>
      <name val="Arial"/>
      <family val="2"/>
    </font>
    <font>
      <b/>
      <sz val="16"/>
      <color indexed="12"/>
      <name val="돋움"/>
      <family val="3"/>
      <charset val="129"/>
    </font>
    <font>
      <b/>
      <sz val="16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2"/>
      <name val="바탕체"/>
      <family val="1"/>
      <charset val="129"/>
    </font>
    <font>
      <sz val="10"/>
      <name val="돋움"/>
      <family val="3"/>
      <charset val="129"/>
    </font>
    <font>
      <sz val="8"/>
      <name val="바탕"/>
      <family val="1"/>
      <charset val="129"/>
    </font>
    <font>
      <sz val="10"/>
      <color indexed="8"/>
      <name val="Arial"/>
      <family val="2"/>
    </font>
    <font>
      <sz val="8"/>
      <name val="Arial"/>
      <family val="2"/>
    </font>
    <font>
      <sz val="10"/>
      <color rgb="FF0000FF"/>
      <name val="Arial"/>
      <family val="2"/>
    </font>
    <font>
      <sz val="8"/>
      <name val="돋움"/>
      <family val="3"/>
      <charset val="129"/>
    </font>
    <font>
      <sz val="11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1"/>
      <color rgb="FFFF00FF"/>
      <name val="돋움"/>
      <family val="3"/>
      <charset val="129"/>
    </font>
    <font>
      <sz val="9"/>
      <color rgb="FFFF00FF"/>
      <name val="돋움"/>
      <family val="3"/>
      <charset val="129"/>
    </font>
    <font>
      <sz val="10"/>
      <color rgb="FFFF00FF"/>
      <name val="Arial"/>
      <family val="2"/>
    </font>
    <font>
      <b/>
      <sz val="10"/>
      <color theme="3" tint="-0.249977111117893"/>
      <name val="Arial"/>
      <family val="2"/>
    </font>
    <font>
      <sz val="11"/>
      <color rgb="FF0000FF"/>
      <name val="맑은 고딕"/>
      <family val="2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9"/>
      <name val="Arial"/>
      <family val="2"/>
    </font>
    <font>
      <sz val="10"/>
      <color rgb="FF0000FF"/>
      <name val="돋움"/>
      <family val="3"/>
      <charset val="129"/>
    </font>
    <font>
      <b/>
      <sz val="10"/>
      <color rgb="FF0000FF"/>
      <name val="Arial"/>
      <family val="2"/>
    </font>
    <font>
      <sz val="10"/>
      <color rgb="FFFF00FF"/>
      <name val="돋움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돋움"/>
      <family val="3"/>
      <charset val="129"/>
    </font>
    <font>
      <b/>
      <sz val="11"/>
      <color rgb="FF0000FF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sz val="9"/>
      <color indexed="8"/>
      <name val="Arial"/>
      <family val="2"/>
    </font>
    <font>
      <sz val="10"/>
      <color indexed="12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</font>
    <font>
      <sz val="11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20"/>
      <color indexed="12"/>
      <name val="Arial"/>
      <family val="2"/>
    </font>
    <font>
      <sz val="20"/>
      <color indexed="12"/>
      <name val="돋움"/>
      <family val="3"/>
      <charset val="129"/>
    </font>
    <font>
      <sz val="12"/>
      <name val="Arial"/>
      <family val="2"/>
    </font>
    <font>
      <sz val="12"/>
      <name val="돋움"/>
      <family val="3"/>
      <charset val="129"/>
    </font>
    <font>
      <sz val="8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b/>
      <sz val="10"/>
      <color theme="3" tint="-0.499984740745262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0"/>
      <color indexed="10"/>
      <name val="바탕체"/>
      <family val="1"/>
      <charset val="129"/>
    </font>
    <font>
      <b/>
      <sz val="10"/>
      <color indexed="12"/>
      <name val="Arial"/>
      <family val="2"/>
    </font>
    <font>
      <sz val="10"/>
      <name val="바탕체"/>
      <family val="1"/>
      <charset val="129"/>
    </font>
    <font>
      <sz val="10"/>
      <name val="Arial Unicode MS"/>
      <family val="3"/>
    </font>
    <font>
      <b/>
      <sz val="12"/>
      <color rgb="FFFF0000"/>
      <name val="맑은 고딕"/>
      <family val="3"/>
      <charset val="129"/>
      <scheme val="minor"/>
    </font>
    <font>
      <u/>
      <sz val="9"/>
      <color indexed="81"/>
      <name val="돋움"/>
      <family val="3"/>
      <charset val="129"/>
    </font>
    <font>
      <sz val="9"/>
      <color indexed="81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9" fillId="0" borderId="0"/>
    <xf numFmtId="176" fontId="9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3" fillId="0" borderId="0"/>
  </cellStyleXfs>
  <cellXfs count="404">
    <xf numFmtId="0" fontId="0" fillId="0" borderId="0" xfId="0">
      <alignment vertical="center"/>
    </xf>
    <xf numFmtId="0" fontId="0" fillId="2" borderId="0" xfId="0" applyFill="1">
      <alignment vertical="center"/>
    </xf>
    <xf numFmtId="176" fontId="4" fillId="2" borderId="0" xfId="2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left" vertical="center"/>
    </xf>
    <xf numFmtId="41" fontId="7" fillId="2" borderId="0" xfId="3" applyFont="1" applyFill="1" applyAlignment="1">
      <alignment vertical="center"/>
    </xf>
    <xf numFmtId="176" fontId="7" fillId="2" borderId="0" xfId="3" applyNumberFormat="1" applyFont="1" applyFill="1" applyAlignment="1">
      <alignment vertical="center"/>
    </xf>
    <xf numFmtId="0" fontId="7" fillId="2" borderId="0" xfId="2" applyFont="1" applyFill="1" applyAlignment="1">
      <alignment vertical="center"/>
    </xf>
    <xf numFmtId="0" fontId="7" fillId="2" borderId="0" xfId="2" applyFont="1" applyFill="1" applyBorder="1" applyAlignment="1">
      <alignment vertical="center"/>
    </xf>
    <xf numFmtId="176" fontId="4" fillId="2" borderId="0" xfId="2" applyNumberFormat="1" applyFont="1" applyFill="1" applyAlignment="1">
      <alignment horizontal="center" vertical="center"/>
    </xf>
    <xf numFmtId="0" fontId="3" fillId="2" borderId="0" xfId="2" applyFill="1"/>
    <xf numFmtId="176" fontId="8" fillId="2" borderId="0" xfId="2" applyNumberFormat="1" applyFont="1" applyFill="1" applyAlignment="1">
      <alignment vertical="center"/>
    </xf>
    <xf numFmtId="176" fontId="7" fillId="2" borderId="0" xfId="2" applyNumberFormat="1" applyFont="1" applyFill="1" applyAlignment="1">
      <alignment horizontal="right" vertical="center"/>
    </xf>
    <xf numFmtId="176" fontId="7" fillId="2" borderId="0" xfId="2" applyNumberFormat="1" applyFont="1" applyFill="1" applyBorder="1" applyAlignment="1">
      <alignment horizontal="right" vertical="center"/>
    </xf>
    <xf numFmtId="176" fontId="7" fillId="2" borderId="0" xfId="2" quotePrefix="1" applyNumberFormat="1" applyFont="1" applyFill="1" applyAlignment="1">
      <alignment horizontal="right" vertical="center"/>
    </xf>
    <xf numFmtId="0" fontId="7" fillId="2" borderId="1" xfId="2" applyFont="1" applyFill="1" applyBorder="1" applyAlignment="1">
      <alignment vertical="center" wrapText="1"/>
    </xf>
    <xf numFmtId="0" fontId="10" fillId="0" borderId="2" xfId="4" applyFont="1" applyFill="1" applyBorder="1" applyAlignment="1">
      <alignment horizontal="center" vertical="center"/>
    </xf>
    <xf numFmtId="41" fontId="7" fillId="2" borderId="3" xfId="3" applyFont="1" applyFill="1" applyBorder="1" applyAlignment="1">
      <alignment horizontal="center" vertical="center"/>
    </xf>
    <xf numFmtId="176" fontId="7" fillId="2" borderId="3" xfId="3" applyNumberFormat="1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41" fontId="10" fillId="2" borderId="5" xfId="3" applyFont="1" applyFill="1" applyBorder="1" applyAlignment="1">
      <alignment horizontal="center" vertical="center"/>
    </xf>
    <xf numFmtId="41" fontId="7" fillId="2" borderId="5" xfId="3" applyFont="1" applyFill="1" applyBorder="1" applyAlignment="1">
      <alignment horizontal="center" vertical="center"/>
    </xf>
    <xf numFmtId="0" fontId="9" fillId="2" borderId="0" xfId="4" applyFill="1"/>
    <xf numFmtId="0" fontId="10" fillId="2" borderId="6" xfId="4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176" fontId="10" fillId="2" borderId="8" xfId="5" applyFont="1" applyFill="1" applyBorder="1" applyAlignment="1">
      <alignment horizontal="center" vertical="center"/>
    </xf>
    <xf numFmtId="176" fontId="7" fillId="2" borderId="8" xfId="5" applyNumberFormat="1" applyFont="1" applyFill="1" applyBorder="1" applyAlignment="1">
      <alignment horizontal="center" vertical="center"/>
    </xf>
    <xf numFmtId="0" fontId="7" fillId="2" borderId="9" xfId="2" applyFont="1" applyFill="1" applyBorder="1" applyAlignment="1">
      <alignment vertical="center"/>
    </xf>
    <xf numFmtId="0" fontId="7" fillId="2" borderId="10" xfId="2" applyFont="1" applyFill="1" applyBorder="1" applyAlignment="1">
      <alignment horizontal="center" vertical="center"/>
    </xf>
    <xf numFmtId="177" fontId="12" fillId="2" borderId="3" xfId="3" applyNumberFormat="1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178" fontId="7" fillId="2" borderId="3" xfId="2" applyNumberFormat="1" applyFont="1" applyFill="1" applyBorder="1" applyAlignment="1">
      <alignment horizontal="center" vertical="center"/>
    </xf>
    <xf numFmtId="177" fontId="7" fillId="2" borderId="3" xfId="3" applyNumberFormat="1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right" vertical="center"/>
    </xf>
    <xf numFmtId="0" fontId="7" fillId="2" borderId="3" xfId="2" applyFont="1" applyFill="1" applyBorder="1" applyAlignment="1">
      <alignment vertical="center"/>
    </xf>
    <xf numFmtId="0" fontId="7" fillId="2" borderId="4" xfId="2" applyFont="1" applyFill="1" applyBorder="1" applyAlignment="1">
      <alignment vertical="center"/>
    </xf>
    <xf numFmtId="41" fontId="7" fillId="2" borderId="5" xfId="3" applyFont="1" applyFill="1" applyBorder="1" applyAlignment="1">
      <alignment vertical="center"/>
    </xf>
    <xf numFmtId="41" fontId="7" fillId="2" borderId="3" xfId="3" applyFont="1" applyFill="1" applyBorder="1" applyAlignment="1">
      <alignment vertical="center"/>
    </xf>
    <xf numFmtId="0" fontId="10" fillId="2" borderId="11" xfId="2" applyFont="1" applyFill="1" applyBorder="1" applyAlignment="1">
      <alignment horizontal="center" vertical="center" wrapText="1"/>
    </xf>
    <xf numFmtId="41" fontId="7" fillId="2" borderId="12" xfId="3" applyFont="1" applyFill="1" applyBorder="1" applyAlignment="1">
      <alignment horizontal="right" vertical="center"/>
    </xf>
    <xf numFmtId="179" fontId="7" fillId="2" borderId="8" xfId="3" applyNumberFormat="1" applyFont="1" applyFill="1" applyBorder="1" applyAlignment="1">
      <alignment horizontal="center" vertical="center"/>
    </xf>
    <xf numFmtId="41" fontId="10" fillId="2" borderId="13" xfId="3" applyFont="1" applyFill="1" applyBorder="1" applyAlignment="1">
      <alignment horizontal="center" vertical="center" wrapText="1"/>
    </xf>
    <xf numFmtId="0" fontId="13" fillId="2" borderId="8" xfId="4" applyFont="1" applyFill="1" applyBorder="1" applyAlignment="1">
      <alignment horizontal="center" vertical="center"/>
    </xf>
    <xf numFmtId="41" fontId="7" fillId="2" borderId="8" xfId="3" applyFont="1" applyFill="1" applyBorder="1" applyAlignment="1">
      <alignment vertical="center"/>
    </xf>
    <xf numFmtId="0" fontId="7" fillId="2" borderId="8" xfId="2" applyFont="1" applyFill="1" applyBorder="1" applyAlignment="1">
      <alignment horizontal="right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vertical="center"/>
    </xf>
    <xf numFmtId="180" fontId="7" fillId="2" borderId="10" xfId="2" applyNumberFormat="1" applyFont="1" applyFill="1" applyBorder="1" applyAlignment="1">
      <alignment vertical="center"/>
    </xf>
    <xf numFmtId="41" fontId="7" fillId="2" borderId="12" xfId="3" applyFont="1" applyFill="1" applyBorder="1" applyAlignment="1">
      <alignment vertical="center"/>
    </xf>
    <xf numFmtId="43" fontId="7" fillId="2" borderId="10" xfId="2" applyNumberFormat="1" applyFont="1" applyFill="1" applyBorder="1" applyAlignment="1">
      <alignment vertical="center"/>
    </xf>
    <xf numFmtId="41" fontId="14" fillId="2" borderId="0" xfId="2" applyNumberFormat="1" applyFont="1" applyFill="1" applyBorder="1" applyAlignment="1">
      <alignment vertical="center"/>
    </xf>
    <xf numFmtId="41" fontId="12" fillId="2" borderId="12" xfId="3" applyFont="1" applyFill="1" applyBorder="1" applyAlignment="1">
      <alignment horizontal="right" vertical="center"/>
    </xf>
    <xf numFmtId="179" fontId="12" fillId="2" borderId="8" xfId="3" applyNumberFormat="1" applyFont="1" applyFill="1" applyBorder="1" applyAlignment="1">
      <alignment horizontal="center" vertical="center"/>
    </xf>
    <xf numFmtId="41" fontId="12" fillId="2" borderId="8" xfId="3" applyFont="1" applyFill="1" applyBorder="1" applyAlignment="1">
      <alignment vertical="center"/>
    </xf>
    <xf numFmtId="179" fontId="12" fillId="2" borderId="10" xfId="3" applyNumberFormat="1" applyFont="1" applyFill="1" applyBorder="1" applyAlignment="1">
      <alignment vertical="center"/>
    </xf>
    <xf numFmtId="0" fontId="10" fillId="2" borderId="14" xfId="2" applyFont="1" applyFill="1" applyBorder="1" applyAlignment="1">
      <alignment horizontal="center" vertical="center" wrapText="1"/>
    </xf>
    <xf numFmtId="41" fontId="10" fillId="2" borderId="15" xfId="3" applyFont="1" applyFill="1" applyBorder="1" applyAlignment="1">
      <alignment horizontal="center" vertical="center" wrapText="1"/>
    </xf>
    <xf numFmtId="0" fontId="7" fillId="2" borderId="10" xfId="2" applyFont="1" applyFill="1" applyBorder="1" applyAlignment="1">
      <alignment vertical="center"/>
    </xf>
    <xf numFmtId="181" fontId="7" fillId="2" borderId="12" xfId="3" applyNumberFormat="1" applyFont="1" applyFill="1" applyBorder="1" applyAlignment="1">
      <alignment vertical="center"/>
    </xf>
    <xf numFmtId="41" fontId="7" fillId="3" borderId="12" xfId="3" applyFont="1" applyFill="1" applyBorder="1" applyAlignment="1">
      <alignment horizontal="right" vertical="center"/>
    </xf>
    <xf numFmtId="41" fontId="7" fillId="3" borderId="8" xfId="3" applyFont="1" applyFill="1" applyBorder="1" applyAlignment="1">
      <alignment vertical="center"/>
    </xf>
    <xf numFmtId="0" fontId="16" fillId="2" borderId="0" xfId="2" applyFont="1" applyFill="1"/>
    <xf numFmtId="0" fontId="17" fillId="2" borderId="8" xfId="4" applyFont="1" applyFill="1" applyBorder="1" applyAlignment="1">
      <alignment horizontal="center" vertical="center"/>
    </xf>
    <xf numFmtId="41" fontId="14" fillId="2" borderId="16" xfId="3" applyFont="1" applyFill="1" applyBorder="1" applyAlignment="1">
      <alignment horizontal="right" vertical="center"/>
    </xf>
    <xf numFmtId="182" fontId="14" fillId="2" borderId="8" xfId="3" applyNumberFormat="1" applyFont="1" applyFill="1" applyBorder="1" applyAlignment="1">
      <alignment horizontal="right" vertical="center"/>
    </xf>
    <xf numFmtId="179" fontId="14" fillId="2" borderId="8" xfId="3" applyNumberFormat="1" applyFont="1" applyFill="1" applyBorder="1" applyAlignment="1">
      <alignment horizontal="center" vertical="center"/>
    </xf>
    <xf numFmtId="41" fontId="14" fillId="2" borderId="8" xfId="3" applyFont="1" applyFill="1" applyBorder="1" applyAlignment="1">
      <alignment vertical="center"/>
    </xf>
    <xf numFmtId="182" fontId="14" fillId="2" borderId="8" xfId="3" applyNumberFormat="1" applyFont="1" applyFill="1" applyBorder="1" applyAlignment="1">
      <alignment vertical="center"/>
    </xf>
    <xf numFmtId="0" fontId="14" fillId="2" borderId="8" xfId="2" applyFont="1" applyFill="1" applyBorder="1" applyAlignment="1">
      <alignment horizontal="right" vertical="center"/>
    </xf>
    <xf numFmtId="0" fontId="14" fillId="2" borderId="8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vertical="center"/>
    </xf>
    <xf numFmtId="176" fontId="14" fillId="2" borderId="8" xfId="2" applyNumberFormat="1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41" fontId="14" fillId="2" borderId="12" xfId="3" applyFont="1" applyFill="1" applyBorder="1" applyAlignment="1">
      <alignment vertical="center"/>
    </xf>
    <xf numFmtId="180" fontId="14" fillId="2" borderId="10" xfId="2" applyNumberFormat="1" applyFont="1" applyFill="1" applyBorder="1" applyAlignment="1">
      <alignment vertical="center"/>
    </xf>
    <xf numFmtId="41" fontId="14" fillId="2" borderId="17" xfId="3" applyFont="1" applyFill="1" applyBorder="1" applyAlignment="1">
      <alignment horizontal="right" vertical="center"/>
    </xf>
    <xf numFmtId="182" fontId="14" fillId="2" borderId="10" xfId="3" applyNumberFormat="1" applyFont="1" applyFill="1" applyBorder="1" applyAlignment="1">
      <alignment horizontal="right" vertical="center"/>
    </xf>
    <xf numFmtId="0" fontId="18" fillId="2" borderId="0" xfId="2" applyFont="1" applyFill="1"/>
    <xf numFmtId="0" fontId="10" fillId="2" borderId="9" xfId="2" applyFont="1" applyFill="1" applyBorder="1" applyAlignment="1">
      <alignment horizontal="center" vertical="center" wrapText="1"/>
    </xf>
    <xf numFmtId="0" fontId="19" fillId="2" borderId="8" xfId="4" applyFont="1" applyFill="1" applyBorder="1" applyAlignment="1">
      <alignment horizontal="center" vertical="center"/>
    </xf>
    <xf numFmtId="41" fontId="20" fillId="2" borderId="12" xfId="3" applyFont="1" applyFill="1" applyBorder="1" applyAlignment="1">
      <alignment horizontal="right" vertical="center"/>
    </xf>
    <xf numFmtId="179" fontId="21" fillId="4" borderId="8" xfId="3" applyNumberFormat="1" applyFont="1" applyFill="1" applyBorder="1" applyAlignment="1">
      <alignment horizontal="center" vertical="center"/>
    </xf>
    <xf numFmtId="41" fontId="10" fillId="2" borderId="18" xfId="3" applyFont="1" applyFill="1" applyBorder="1" applyAlignment="1">
      <alignment horizontal="center" vertical="center" wrapText="1"/>
    </xf>
    <xf numFmtId="176" fontId="20" fillId="2" borderId="8" xfId="3" applyNumberFormat="1" applyFont="1" applyFill="1" applyBorder="1" applyAlignment="1">
      <alignment horizontal="center" vertical="center"/>
    </xf>
    <xf numFmtId="0" fontId="20" fillId="2" borderId="8" xfId="2" applyFont="1" applyFill="1" applyBorder="1" applyAlignment="1">
      <alignment horizontal="right" vertical="center"/>
    </xf>
    <xf numFmtId="0" fontId="20" fillId="2" borderId="8" xfId="2" applyFont="1" applyFill="1" applyBorder="1" applyAlignment="1">
      <alignment horizontal="center" vertical="center"/>
    </xf>
    <xf numFmtId="0" fontId="20" fillId="2" borderId="8" xfId="2" applyFont="1" applyFill="1" applyBorder="1" applyAlignment="1">
      <alignment vertical="center"/>
    </xf>
    <xf numFmtId="0" fontId="20" fillId="2" borderId="10" xfId="2" applyFont="1" applyFill="1" applyBorder="1" applyAlignment="1">
      <alignment vertical="center"/>
    </xf>
    <xf numFmtId="41" fontId="20" fillId="2" borderId="12" xfId="3" applyFont="1" applyFill="1" applyBorder="1" applyAlignment="1">
      <alignment vertical="center"/>
    </xf>
    <xf numFmtId="2" fontId="21" fillId="4" borderId="10" xfId="2" applyNumberFormat="1" applyFont="1" applyFill="1" applyBorder="1" applyAlignment="1">
      <alignment vertical="center"/>
    </xf>
    <xf numFmtId="2" fontId="21" fillId="4" borderId="8" xfId="3" applyNumberFormat="1" applyFont="1" applyFill="1" applyBorder="1" applyAlignment="1">
      <alignment horizontal="right" vertical="center"/>
    </xf>
    <xf numFmtId="41" fontId="20" fillId="2" borderId="8" xfId="3" applyFont="1" applyFill="1" applyBorder="1" applyAlignment="1">
      <alignment vertical="center"/>
    </xf>
    <xf numFmtId="179" fontId="21" fillId="4" borderId="10" xfId="3" applyNumberFormat="1" applyFont="1" applyFill="1" applyBorder="1" applyAlignment="1">
      <alignment vertical="center"/>
    </xf>
    <xf numFmtId="0" fontId="7" fillId="2" borderId="14" xfId="2" applyFont="1" applyFill="1" applyBorder="1" applyAlignment="1">
      <alignment horizontal="center" vertical="center"/>
    </xf>
    <xf numFmtId="179" fontId="7" fillId="2" borderId="8" xfId="3" applyNumberFormat="1" applyFont="1" applyFill="1" applyBorder="1" applyAlignment="1">
      <alignment vertical="center"/>
    </xf>
    <xf numFmtId="176" fontId="7" fillId="2" borderId="8" xfId="2" applyNumberFormat="1" applyFont="1" applyFill="1" applyBorder="1" applyAlignment="1">
      <alignment vertical="center"/>
    </xf>
    <xf numFmtId="41" fontId="12" fillId="2" borderId="12" xfId="3" applyFont="1" applyFill="1" applyBorder="1" applyAlignment="1">
      <alignment vertical="center"/>
    </xf>
    <xf numFmtId="179" fontId="12" fillId="2" borderId="8" xfId="3" applyNumberFormat="1" applyFont="1" applyFill="1" applyBorder="1" applyAlignment="1">
      <alignment vertical="center"/>
    </xf>
    <xf numFmtId="0" fontId="22" fillId="2" borderId="0" xfId="0" applyFont="1" applyFill="1">
      <alignment vertical="center"/>
    </xf>
    <xf numFmtId="0" fontId="14" fillId="2" borderId="14" xfId="2" applyFont="1" applyFill="1" applyBorder="1" applyAlignment="1">
      <alignment horizontal="center" vertical="center"/>
    </xf>
    <xf numFmtId="179" fontId="14" fillId="2" borderId="8" xfId="3" applyNumberFormat="1" applyFont="1" applyFill="1" applyBorder="1" applyAlignment="1">
      <alignment vertical="center"/>
    </xf>
    <xf numFmtId="41" fontId="14" fillId="2" borderId="16" xfId="3" applyFont="1" applyFill="1" applyBorder="1" applyAlignment="1">
      <alignment vertical="center"/>
    </xf>
    <xf numFmtId="41" fontId="14" fillId="2" borderId="17" xfId="3" applyFont="1" applyFill="1" applyBorder="1" applyAlignment="1">
      <alignment vertical="center"/>
    </xf>
    <xf numFmtId="182" fontId="14" fillId="2" borderId="10" xfId="3" applyNumberFormat="1" applyFont="1" applyFill="1" applyBorder="1" applyAlignment="1">
      <alignment vertical="center"/>
    </xf>
    <xf numFmtId="0" fontId="23" fillId="2" borderId="0" xfId="0" applyFont="1" applyFill="1">
      <alignment vertical="center"/>
    </xf>
    <xf numFmtId="0" fontId="20" fillId="2" borderId="14" xfId="2" applyFont="1" applyFill="1" applyBorder="1" applyAlignment="1">
      <alignment horizontal="center" vertical="center"/>
    </xf>
    <xf numFmtId="179" fontId="21" fillId="4" borderId="8" xfId="3" applyNumberFormat="1" applyFont="1" applyFill="1" applyBorder="1" applyAlignment="1">
      <alignment vertical="center"/>
    </xf>
    <xf numFmtId="176" fontId="20" fillId="2" borderId="8" xfId="3" applyNumberFormat="1" applyFont="1" applyFill="1" applyBorder="1" applyAlignment="1">
      <alignment vertical="center"/>
    </xf>
    <xf numFmtId="2" fontId="21" fillId="4" borderId="8" xfId="2" applyNumberFormat="1" applyFont="1" applyFill="1" applyBorder="1" applyAlignment="1">
      <alignment vertical="center"/>
    </xf>
    <xf numFmtId="179" fontId="21" fillId="4" borderId="10" xfId="2" applyNumberFormat="1" applyFont="1" applyFill="1" applyBorder="1" applyAlignment="1">
      <alignment vertical="center"/>
    </xf>
    <xf numFmtId="0" fontId="7" fillId="2" borderId="11" xfId="2" applyFont="1" applyFill="1" applyBorder="1" applyAlignment="1">
      <alignment horizontal="center" vertical="center"/>
    </xf>
    <xf numFmtId="0" fontId="20" fillId="2" borderId="9" xfId="2" applyFont="1" applyFill="1" applyBorder="1" applyAlignment="1">
      <alignment horizontal="center" vertical="center"/>
    </xf>
    <xf numFmtId="176" fontId="20" fillId="2" borderId="8" xfId="5" applyNumberFormat="1" applyFont="1" applyFill="1" applyBorder="1" applyAlignment="1">
      <alignment vertical="center"/>
    </xf>
    <xf numFmtId="2" fontId="12" fillId="2" borderId="8" xfId="2" applyNumberFormat="1" applyFont="1" applyFill="1" applyBorder="1" applyAlignment="1">
      <alignment vertical="center"/>
    </xf>
    <xf numFmtId="2" fontId="12" fillId="2" borderId="10" xfId="2" applyNumberFormat="1" applyFont="1" applyFill="1" applyBorder="1" applyAlignment="1">
      <alignment vertical="center"/>
    </xf>
    <xf numFmtId="0" fontId="7" fillId="0" borderId="8" xfId="4" applyFont="1" applyFill="1" applyBorder="1" applyAlignment="1">
      <alignment horizontal="center" vertical="center"/>
    </xf>
    <xf numFmtId="179" fontId="7" fillId="2" borderId="19" xfId="3" applyNumberFormat="1" applyFont="1" applyFill="1" applyBorder="1" applyAlignment="1">
      <alignment vertical="center"/>
    </xf>
    <xf numFmtId="0" fontId="10" fillId="0" borderId="8" xfId="4" applyFont="1" applyFill="1" applyBorder="1" applyAlignment="1">
      <alignment horizontal="center" vertical="center"/>
    </xf>
    <xf numFmtId="0" fontId="24" fillId="2" borderId="10" xfId="2" applyFont="1" applyFill="1" applyBorder="1" applyAlignment="1">
      <alignment horizontal="center" vertical="center"/>
    </xf>
    <xf numFmtId="43" fontId="14" fillId="2" borderId="10" xfId="2" applyNumberFormat="1" applyFont="1" applyFill="1" applyBorder="1" applyAlignment="1">
      <alignment vertical="center"/>
    </xf>
    <xf numFmtId="180" fontId="21" fillId="4" borderId="10" xfId="2" applyNumberFormat="1" applyFont="1" applyFill="1" applyBorder="1" applyAlignment="1">
      <alignment vertical="center"/>
    </xf>
    <xf numFmtId="41" fontId="7" fillId="2" borderId="8" xfId="3" applyNumberFormat="1" applyFont="1" applyFill="1" applyBorder="1" applyAlignment="1">
      <alignment vertical="center"/>
    </xf>
    <xf numFmtId="179" fontId="7" fillId="2" borderId="8" xfId="2" applyNumberFormat="1" applyFont="1" applyFill="1" applyBorder="1" applyAlignment="1">
      <alignment vertical="center"/>
    </xf>
    <xf numFmtId="2" fontId="7" fillId="2" borderId="10" xfId="2" applyNumberFormat="1" applyFont="1" applyFill="1" applyBorder="1" applyAlignment="1">
      <alignment vertical="center"/>
    </xf>
    <xf numFmtId="41" fontId="7" fillId="0" borderId="12" xfId="3" applyFont="1" applyFill="1" applyBorder="1" applyAlignment="1">
      <alignment vertical="center"/>
    </xf>
    <xf numFmtId="0" fontId="25" fillId="2" borderId="8" xfId="4" applyFont="1" applyFill="1" applyBorder="1" applyAlignment="1">
      <alignment horizontal="center" vertical="center"/>
    </xf>
    <xf numFmtId="179" fontId="26" fillId="5" borderId="8" xfId="3" applyNumberFormat="1" applyFont="1" applyFill="1" applyBorder="1" applyAlignment="1">
      <alignment vertical="center"/>
    </xf>
    <xf numFmtId="41" fontId="14" fillId="2" borderId="8" xfId="3" applyNumberFormat="1" applyFont="1" applyFill="1" applyBorder="1" applyAlignment="1">
      <alignment vertical="center"/>
    </xf>
    <xf numFmtId="179" fontId="26" fillId="5" borderId="8" xfId="2" applyNumberFormat="1" applyFont="1" applyFill="1" applyBorder="1" applyAlignment="1">
      <alignment vertical="center"/>
    </xf>
    <xf numFmtId="2" fontId="26" fillId="5" borderId="10" xfId="2" applyNumberFormat="1" applyFont="1" applyFill="1" applyBorder="1" applyAlignment="1">
      <alignment vertical="center"/>
    </xf>
    <xf numFmtId="0" fontId="27" fillId="2" borderId="8" xfId="4" applyFont="1" applyFill="1" applyBorder="1" applyAlignment="1">
      <alignment horizontal="center" vertical="center"/>
    </xf>
    <xf numFmtId="41" fontId="20" fillId="2" borderId="8" xfId="3" applyNumberFormat="1" applyFont="1" applyFill="1" applyBorder="1" applyAlignment="1">
      <alignment vertical="center"/>
    </xf>
    <xf numFmtId="0" fontId="20" fillId="2" borderId="10" xfId="2" applyNumberFormat="1" applyFont="1" applyFill="1" applyBorder="1" applyAlignment="1">
      <alignment vertical="center"/>
    </xf>
    <xf numFmtId="2" fontId="20" fillId="2" borderId="8" xfId="2" applyNumberFormat="1" applyFont="1" applyFill="1" applyBorder="1" applyAlignment="1">
      <alignment vertical="center"/>
    </xf>
    <xf numFmtId="2" fontId="20" fillId="2" borderId="10" xfId="2" applyNumberFormat="1" applyFont="1" applyFill="1" applyBorder="1" applyAlignment="1">
      <alignment vertical="center"/>
    </xf>
    <xf numFmtId="0" fontId="10" fillId="2" borderId="14" xfId="2" applyFont="1" applyFill="1" applyBorder="1" applyAlignment="1">
      <alignment horizontal="center" vertical="center"/>
    </xf>
    <xf numFmtId="183" fontId="7" fillId="2" borderId="8" xfId="3" applyNumberFormat="1" applyFont="1" applyFill="1" applyBorder="1" applyAlignment="1">
      <alignment vertical="center"/>
    </xf>
    <xf numFmtId="176" fontId="7" fillId="2" borderId="8" xfId="3" applyNumberFormat="1" applyFont="1" applyFill="1" applyBorder="1" applyAlignment="1">
      <alignment vertical="center"/>
    </xf>
    <xf numFmtId="184" fontId="20" fillId="2" borderId="10" xfId="2" applyNumberFormat="1" applyFont="1" applyFill="1" applyBorder="1" applyAlignment="1">
      <alignment vertical="center"/>
    </xf>
    <xf numFmtId="0" fontId="25" fillId="6" borderId="11" xfId="2" applyFont="1" applyFill="1" applyBorder="1" applyAlignment="1">
      <alignment horizontal="center" vertical="center"/>
    </xf>
    <xf numFmtId="0" fontId="28" fillId="2" borderId="20" xfId="2" applyFont="1" applyFill="1" applyBorder="1" applyAlignment="1">
      <alignment horizontal="center" vertical="center"/>
    </xf>
    <xf numFmtId="176" fontId="14" fillId="2" borderId="13" xfId="3" applyNumberFormat="1" applyFont="1" applyFill="1" applyBorder="1" applyAlignment="1">
      <alignment vertical="center"/>
    </xf>
    <xf numFmtId="176" fontId="14" fillId="2" borderId="13" xfId="2" applyNumberFormat="1" applyFont="1" applyFill="1" applyBorder="1" applyAlignment="1">
      <alignment vertical="center"/>
    </xf>
    <xf numFmtId="0" fontId="14" fillId="2" borderId="13" xfId="2" applyFont="1" applyFill="1" applyBorder="1" applyAlignment="1">
      <alignment vertical="center"/>
    </xf>
    <xf numFmtId="0" fontId="14" fillId="2" borderId="20" xfId="2" applyFont="1" applyFill="1" applyBorder="1" applyAlignment="1">
      <alignment vertical="center"/>
    </xf>
    <xf numFmtId="41" fontId="14" fillId="2" borderId="11" xfId="3" applyFont="1" applyFill="1" applyBorder="1" applyAlignment="1">
      <alignment vertical="center"/>
    </xf>
    <xf numFmtId="180" fontId="30" fillId="2" borderId="20" xfId="2" applyNumberFormat="1" applyFont="1" applyFill="1" applyBorder="1" applyAlignment="1">
      <alignment vertical="center"/>
    </xf>
    <xf numFmtId="182" fontId="30" fillId="2" borderId="8" xfId="3" applyNumberFormat="1" applyFont="1" applyFill="1" applyBorder="1" applyAlignment="1">
      <alignment vertical="center"/>
    </xf>
    <xf numFmtId="182" fontId="30" fillId="2" borderId="10" xfId="3" applyNumberFormat="1" applyFont="1" applyFill="1" applyBorder="1" applyAlignment="1">
      <alignment vertical="center"/>
    </xf>
    <xf numFmtId="0" fontId="0" fillId="2" borderId="0" xfId="0" applyFont="1" applyFill="1">
      <alignment vertical="center"/>
    </xf>
    <xf numFmtId="0" fontId="10" fillId="2" borderId="21" xfId="2" applyFont="1" applyFill="1" applyBorder="1" applyAlignment="1">
      <alignment vertical="center"/>
    </xf>
    <xf numFmtId="0" fontId="31" fillId="2" borderId="4" xfId="2" applyFont="1" applyFill="1" applyBorder="1" applyAlignment="1">
      <alignment horizontal="center" vertical="center"/>
    </xf>
    <xf numFmtId="41" fontId="32" fillId="2" borderId="5" xfId="3" applyFont="1" applyFill="1" applyBorder="1" applyAlignment="1">
      <alignment vertical="center"/>
    </xf>
    <xf numFmtId="176" fontId="32" fillId="2" borderId="3" xfId="3" applyNumberFormat="1" applyFont="1" applyFill="1" applyBorder="1" applyAlignment="1">
      <alignment vertical="center"/>
    </xf>
    <xf numFmtId="41" fontId="32" fillId="2" borderId="3" xfId="3" applyFont="1" applyFill="1" applyBorder="1" applyAlignment="1">
      <alignment vertical="center"/>
    </xf>
    <xf numFmtId="0" fontId="32" fillId="2" borderId="3" xfId="2" applyFont="1" applyFill="1" applyBorder="1" applyAlignment="1">
      <alignment vertical="center"/>
    </xf>
    <xf numFmtId="176" fontId="32" fillId="2" borderId="3" xfId="2" applyNumberFormat="1" applyFont="1" applyFill="1" applyBorder="1" applyAlignment="1">
      <alignment vertical="center"/>
    </xf>
    <xf numFmtId="0" fontId="32" fillId="2" borderId="4" xfId="2" applyFont="1" applyFill="1" applyBorder="1" applyAlignment="1">
      <alignment vertical="center"/>
    </xf>
    <xf numFmtId="180" fontId="7" fillId="2" borderId="4" xfId="2" applyNumberFormat="1" applyFont="1" applyFill="1" applyBorder="1" applyAlignment="1">
      <alignment vertical="center"/>
    </xf>
    <xf numFmtId="41" fontId="32" fillId="2" borderId="12" xfId="3" applyFont="1" applyFill="1" applyBorder="1" applyAlignment="1">
      <alignment vertical="center"/>
    </xf>
    <xf numFmtId="2" fontId="32" fillId="2" borderId="8" xfId="2" applyNumberFormat="1" applyFont="1" applyFill="1" applyBorder="1" applyAlignment="1">
      <alignment vertical="center"/>
    </xf>
    <xf numFmtId="41" fontId="32" fillId="2" borderId="8" xfId="3" applyFont="1" applyFill="1" applyBorder="1" applyAlignment="1">
      <alignment vertical="center"/>
    </xf>
    <xf numFmtId="2" fontId="32" fillId="2" borderId="10" xfId="2" applyNumberFormat="1" applyFont="1" applyFill="1" applyBorder="1" applyAlignment="1">
      <alignment vertical="center"/>
    </xf>
    <xf numFmtId="0" fontId="10" fillId="2" borderId="14" xfId="2" applyFont="1" applyFill="1" applyBorder="1" applyAlignment="1">
      <alignment vertical="center"/>
    </xf>
    <xf numFmtId="41" fontId="7" fillId="2" borderId="8" xfId="2" applyNumberFormat="1" applyFont="1" applyFill="1" applyBorder="1" applyAlignment="1">
      <alignment vertical="center"/>
    </xf>
    <xf numFmtId="180" fontId="32" fillId="2" borderId="10" xfId="2" applyNumberFormat="1" applyFont="1" applyFill="1" applyBorder="1" applyAlignment="1">
      <alignment vertical="center"/>
    </xf>
    <xf numFmtId="0" fontId="10" fillId="2" borderId="9" xfId="2" applyFont="1" applyFill="1" applyBorder="1" applyAlignment="1">
      <alignment vertical="center"/>
    </xf>
    <xf numFmtId="180" fontId="32" fillId="2" borderId="22" xfId="2" applyNumberFormat="1" applyFont="1" applyFill="1" applyBorder="1" applyAlignment="1">
      <alignment vertical="center"/>
    </xf>
    <xf numFmtId="0" fontId="29" fillId="2" borderId="20" xfId="2" applyFont="1" applyFill="1" applyBorder="1" applyAlignment="1">
      <alignment horizontal="center" vertical="center"/>
    </xf>
    <xf numFmtId="0" fontId="25" fillId="7" borderId="23" xfId="2" applyFont="1" applyFill="1" applyBorder="1" applyAlignment="1">
      <alignment horizontal="right" vertical="center"/>
    </xf>
    <xf numFmtId="0" fontId="25" fillId="7" borderId="24" xfId="2" applyFont="1" applyFill="1" applyBorder="1" applyAlignment="1">
      <alignment vertical="center"/>
    </xf>
    <xf numFmtId="41" fontId="14" fillId="7" borderId="14" xfId="3" applyFont="1" applyFill="1" applyBorder="1" applyAlignment="1">
      <alignment vertical="center"/>
    </xf>
    <xf numFmtId="176" fontId="14" fillId="7" borderId="15" xfId="3" applyNumberFormat="1" applyFont="1" applyFill="1" applyBorder="1" applyAlignment="1">
      <alignment vertical="center"/>
    </xf>
    <xf numFmtId="0" fontId="14" fillId="7" borderId="15" xfId="2" applyFont="1" applyFill="1" applyBorder="1" applyAlignment="1">
      <alignment vertical="center"/>
    </xf>
    <xf numFmtId="0" fontId="14" fillId="7" borderId="25" xfId="2" applyFont="1" applyFill="1" applyBorder="1" applyAlignment="1">
      <alignment vertical="center"/>
    </xf>
    <xf numFmtId="41" fontId="33" fillId="0" borderId="12" xfId="3" applyFont="1" applyFill="1" applyBorder="1" applyAlignment="1">
      <alignment vertical="center"/>
    </xf>
    <xf numFmtId="180" fontId="34" fillId="0" borderId="10" xfId="2" applyNumberFormat="1" applyFont="1" applyFill="1" applyBorder="1" applyAlignment="1">
      <alignment vertical="center"/>
    </xf>
    <xf numFmtId="41" fontId="14" fillId="0" borderId="0" xfId="2" applyNumberFormat="1" applyFont="1" applyFill="1" applyBorder="1" applyAlignment="1">
      <alignment vertical="center"/>
    </xf>
    <xf numFmtId="180" fontId="33" fillId="0" borderId="8" xfId="2" applyNumberFormat="1" applyFont="1" applyFill="1" applyBorder="1" applyAlignment="1">
      <alignment vertical="center"/>
    </xf>
    <xf numFmtId="41" fontId="33" fillId="0" borderId="26" xfId="3" applyFont="1" applyFill="1" applyBorder="1" applyAlignment="1">
      <alignment vertical="center"/>
    </xf>
    <xf numFmtId="180" fontId="33" fillId="0" borderId="10" xfId="2" applyNumberFormat="1" applyFont="1" applyFill="1" applyBorder="1" applyAlignment="1">
      <alignment vertical="center"/>
    </xf>
    <xf numFmtId="0" fontId="10" fillId="2" borderId="21" xfId="2" applyFont="1" applyFill="1" applyBorder="1" applyAlignment="1">
      <alignment horizontal="center"/>
    </xf>
    <xf numFmtId="0" fontId="32" fillId="2" borderId="3" xfId="2" applyFont="1" applyFill="1" applyBorder="1" applyAlignment="1">
      <alignment horizontal="center" vertical="center"/>
    </xf>
    <xf numFmtId="41" fontId="32" fillId="2" borderId="9" xfId="3" applyFont="1" applyFill="1" applyBorder="1" applyAlignment="1">
      <alignment vertical="center"/>
    </xf>
    <xf numFmtId="184" fontId="32" fillId="2" borderId="22" xfId="2" applyNumberFormat="1" applyFont="1" applyFill="1" applyBorder="1" applyAlignment="1">
      <alignment vertical="center"/>
    </xf>
    <xf numFmtId="0" fontId="32" fillId="2" borderId="8" xfId="2" applyFont="1" applyFill="1" applyBorder="1" applyAlignment="1">
      <alignment horizontal="center" vertical="center"/>
    </xf>
    <xf numFmtId="176" fontId="32" fillId="2" borderId="8" xfId="3" applyNumberFormat="1" applyFont="1" applyFill="1" applyBorder="1" applyAlignment="1">
      <alignment vertical="center"/>
    </xf>
    <xf numFmtId="176" fontId="32" fillId="2" borderId="8" xfId="2" applyNumberFormat="1" applyFont="1" applyFill="1" applyBorder="1" applyAlignment="1">
      <alignment vertical="center"/>
    </xf>
    <xf numFmtId="0" fontId="32" fillId="2" borderId="8" xfId="2" applyFont="1" applyFill="1" applyBorder="1" applyAlignment="1">
      <alignment vertical="center"/>
    </xf>
    <xf numFmtId="0" fontId="32" fillId="2" borderId="10" xfId="2" applyFont="1" applyFill="1" applyBorder="1" applyAlignment="1">
      <alignment vertical="center"/>
    </xf>
    <xf numFmtId="184" fontId="32" fillId="2" borderId="10" xfId="2" applyNumberFormat="1" applyFont="1" applyFill="1" applyBorder="1" applyAlignment="1">
      <alignment vertical="center"/>
    </xf>
    <xf numFmtId="0" fontId="25" fillId="6" borderId="12" xfId="2" applyFont="1" applyFill="1" applyBorder="1" applyAlignment="1">
      <alignment horizontal="center" vertical="center"/>
    </xf>
    <xf numFmtId="0" fontId="29" fillId="2" borderId="8" xfId="2" applyFont="1" applyFill="1" applyBorder="1" applyAlignment="1">
      <alignment horizontal="center" vertical="center"/>
    </xf>
    <xf numFmtId="176" fontId="14" fillId="2" borderId="8" xfId="3" applyNumberFormat="1" applyFont="1" applyFill="1" applyBorder="1" applyAlignment="1">
      <alignment vertical="center"/>
    </xf>
    <xf numFmtId="184" fontId="14" fillId="2" borderId="10" xfId="2" applyNumberFormat="1" applyFont="1" applyFill="1" applyBorder="1" applyAlignment="1">
      <alignment vertical="center"/>
    </xf>
    <xf numFmtId="41" fontId="14" fillId="2" borderId="26" xfId="3" applyFont="1" applyFill="1" applyBorder="1" applyAlignment="1">
      <alignment vertical="center"/>
    </xf>
    <xf numFmtId="2" fontId="14" fillId="2" borderId="10" xfId="2" applyNumberFormat="1" applyFont="1" applyFill="1" applyBorder="1" applyAlignment="1">
      <alignment vertical="center"/>
    </xf>
    <xf numFmtId="0" fontId="10" fillId="2" borderId="16" xfId="2" applyFont="1" applyFill="1" applyBorder="1" applyAlignment="1">
      <alignment horizontal="center" vertical="center"/>
    </xf>
    <xf numFmtId="0" fontId="10" fillId="2" borderId="27" xfId="2" applyFont="1" applyFill="1" applyBorder="1" applyAlignment="1">
      <alignment horizontal="center" vertical="center"/>
    </xf>
    <xf numFmtId="41" fontId="7" fillId="2" borderId="8" xfId="3" applyFont="1" applyFill="1" applyBorder="1" applyAlignment="1">
      <alignment horizontal="right" vertical="center"/>
    </xf>
    <xf numFmtId="184" fontId="7" fillId="2" borderId="10" xfId="2" applyNumberFormat="1" applyFont="1" applyFill="1" applyBorder="1" applyAlignment="1">
      <alignment vertical="center"/>
    </xf>
    <xf numFmtId="0" fontId="12" fillId="2" borderId="8" xfId="2" applyFont="1" applyFill="1" applyBorder="1" applyAlignment="1">
      <alignment vertical="center"/>
    </xf>
    <xf numFmtId="0" fontId="12" fillId="2" borderId="10" xfId="2" applyFont="1" applyFill="1" applyBorder="1" applyAlignment="1">
      <alignment vertical="center"/>
    </xf>
    <xf numFmtId="0" fontId="29" fillId="2" borderId="28" xfId="2" applyFont="1" applyFill="1" applyBorder="1" applyAlignment="1">
      <alignment horizontal="center" vertical="center"/>
    </xf>
    <xf numFmtId="0" fontId="29" fillId="2" borderId="29" xfId="2" applyFont="1" applyFill="1" applyBorder="1" applyAlignment="1">
      <alignment horizontal="center" vertical="center"/>
    </xf>
    <xf numFmtId="41" fontId="14" fillId="2" borderId="30" xfId="3" applyFont="1" applyFill="1" applyBorder="1" applyAlignment="1">
      <alignment vertical="center"/>
    </xf>
    <xf numFmtId="176" fontId="14" fillId="2" borderId="31" xfId="3" applyNumberFormat="1" applyFont="1" applyFill="1" applyBorder="1" applyAlignment="1">
      <alignment vertical="center"/>
    </xf>
    <xf numFmtId="176" fontId="14" fillId="2" borderId="31" xfId="2" applyNumberFormat="1" applyFont="1" applyFill="1" applyBorder="1" applyAlignment="1">
      <alignment vertical="center"/>
    </xf>
    <xf numFmtId="0" fontId="14" fillId="2" borderId="31" xfId="2" applyFont="1" applyFill="1" applyBorder="1" applyAlignment="1">
      <alignment vertical="center"/>
    </xf>
    <xf numFmtId="0" fontId="14" fillId="2" borderId="32" xfId="2" applyFont="1" applyFill="1" applyBorder="1" applyAlignment="1">
      <alignment vertical="center"/>
    </xf>
    <xf numFmtId="41" fontId="26" fillId="0" borderId="30" xfId="3" applyFont="1" applyFill="1" applyBorder="1" applyAlignment="1">
      <alignment vertical="center"/>
    </xf>
    <xf numFmtId="180" fontId="33" fillId="2" borderId="32" xfId="2" applyNumberFormat="1" applyFont="1" applyFill="1" applyBorder="1" applyAlignment="1">
      <alignment vertical="center"/>
    </xf>
    <xf numFmtId="182" fontId="35" fillId="2" borderId="33" xfId="2" applyNumberFormat="1" applyFont="1" applyFill="1" applyBorder="1" applyAlignment="1">
      <alignment vertical="center"/>
    </xf>
    <xf numFmtId="41" fontId="14" fillId="2" borderId="31" xfId="3" applyFont="1" applyFill="1" applyBorder="1" applyAlignment="1">
      <alignment vertical="center"/>
    </xf>
    <xf numFmtId="182" fontId="35" fillId="2" borderId="32" xfId="2" applyNumberFormat="1" applyFont="1" applyFill="1" applyBorder="1" applyAlignment="1">
      <alignment vertical="center"/>
    </xf>
    <xf numFmtId="41" fontId="7" fillId="2" borderId="0" xfId="3" applyFont="1" applyFill="1" applyBorder="1" applyAlignment="1">
      <alignment vertical="center"/>
    </xf>
    <xf numFmtId="176" fontId="7" fillId="2" borderId="0" xfId="3" applyNumberFormat="1" applyFont="1" applyFill="1" applyBorder="1" applyAlignment="1">
      <alignment vertical="center"/>
    </xf>
    <xf numFmtId="41" fontId="7" fillId="2" borderId="0" xfId="2" applyNumberFormat="1" applyFont="1" applyFill="1" applyBorder="1" applyAlignment="1">
      <alignment vertical="center"/>
    </xf>
    <xf numFmtId="41" fontId="34" fillId="2" borderId="0" xfId="3" applyFont="1" applyFill="1" applyBorder="1" applyAlignment="1">
      <alignment vertical="center"/>
    </xf>
    <xf numFmtId="41" fontId="10" fillId="2" borderId="34" xfId="3" applyFont="1" applyFill="1" applyBorder="1" applyAlignment="1">
      <alignment horizontal="center" vertical="center"/>
    </xf>
    <xf numFmtId="41" fontId="10" fillId="2" borderId="35" xfId="3" applyFont="1" applyFill="1" applyBorder="1" applyAlignment="1">
      <alignment horizontal="center" vertical="center"/>
    </xf>
    <xf numFmtId="41" fontId="10" fillId="2" borderId="36" xfId="3" applyFont="1" applyFill="1" applyBorder="1" applyAlignment="1">
      <alignment horizontal="center" vertical="center"/>
    </xf>
    <xf numFmtId="41" fontId="7" fillId="2" borderId="37" xfId="3" applyFont="1" applyFill="1" applyBorder="1" applyAlignment="1">
      <alignment horizontal="center" vertical="center"/>
    </xf>
    <xf numFmtId="41" fontId="10" fillId="2" borderId="38" xfId="3" applyFont="1" applyFill="1" applyBorder="1" applyAlignment="1">
      <alignment horizontal="center" vertical="center"/>
    </xf>
    <xf numFmtId="41" fontId="10" fillId="2" borderId="39" xfId="3" applyFont="1" applyFill="1" applyBorder="1" applyAlignment="1">
      <alignment horizontal="center" vertical="center"/>
    </xf>
    <xf numFmtId="41" fontId="7" fillId="2" borderId="40" xfId="3" applyFont="1" applyFill="1" applyBorder="1" applyAlignment="1">
      <alignment horizontal="center" vertical="center"/>
    </xf>
    <xf numFmtId="41" fontId="7" fillId="2" borderId="39" xfId="3" applyFont="1" applyFill="1" applyBorder="1" applyAlignment="1">
      <alignment vertical="center"/>
    </xf>
    <xf numFmtId="41" fontId="7" fillId="2" borderId="40" xfId="3" applyFont="1" applyFill="1" applyBorder="1" applyAlignment="1">
      <alignment vertical="center"/>
    </xf>
    <xf numFmtId="41" fontId="7" fillId="2" borderId="35" xfId="3" applyFont="1" applyFill="1" applyBorder="1" applyAlignment="1">
      <alignment vertical="center"/>
    </xf>
    <xf numFmtId="41" fontId="7" fillId="2" borderId="41" xfId="3" applyFont="1" applyFill="1" applyBorder="1" applyAlignment="1">
      <alignment horizontal="center" vertical="center"/>
    </xf>
    <xf numFmtId="41" fontId="10" fillId="2" borderId="34" xfId="3" applyFont="1" applyFill="1" applyBorder="1" applyAlignment="1">
      <alignment horizontal="center" vertical="center"/>
    </xf>
    <xf numFmtId="41" fontId="7" fillId="2" borderId="35" xfId="3" applyFont="1" applyFill="1" applyBorder="1" applyAlignment="1">
      <alignment horizontal="center" vertical="center"/>
    </xf>
    <xf numFmtId="41" fontId="7" fillId="2" borderId="42" xfId="3" applyFont="1" applyFill="1" applyBorder="1" applyAlignment="1">
      <alignment horizontal="center" vertical="center"/>
    </xf>
    <xf numFmtId="41" fontId="7" fillId="2" borderId="43" xfId="3" applyFont="1" applyFill="1" applyBorder="1" applyAlignment="1">
      <alignment horizontal="center" vertical="center"/>
    </xf>
    <xf numFmtId="41" fontId="36" fillId="2" borderId="44" xfId="3" applyFont="1" applyFill="1" applyBorder="1" applyAlignment="1">
      <alignment horizontal="center" vertical="center"/>
    </xf>
    <xf numFmtId="41" fontId="36" fillId="2" borderId="45" xfId="3" applyFont="1" applyFill="1" applyBorder="1" applyAlignment="1">
      <alignment horizontal="center" vertical="center"/>
    </xf>
    <xf numFmtId="41" fontId="36" fillId="2" borderId="46" xfId="3" applyFont="1" applyFill="1" applyBorder="1" applyAlignment="1">
      <alignment horizontal="center" vertical="center"/>
    </xf>
    <xf numFmtId="41" fontId="37" fillId="2" borderId="46" xfId="3" applyFont="1" applyFill="1" applyBorder="1" applyAlignment="1">
      <alignment horizontal="center" vertical="center"/>
    </xf>
    <xf numFmtId="41" fontId="37" fillId="2" borderId="45" xfId="3" applyFont="1" applyFill="1" applyBorder="1" applyAlignment="1">
      <alignment horizontal="center" vertical="center"/>
    </xf>
    <xf numFmtId="41" fontId="12" fillId="2" borderId="46" xfId="3" applyFont="1" applyFill="1" applyBorder="1" applyAlignment="1">
      <alignment horizontal="center" vertical="center"/>
    </xf>
    <xf numFmtId="41" fontId="12" fillId="2" borderId="45" xfId="3" applyFont="1" applyFill="1" applyBorder="1" applyAlignment="1">
      <alignment horizontal="center" vertical="center"/>
    </xf>
    <xf numFmtId="176" fontId="12" fillId="2" borderId="47" xfId="3" applyNumberFormat="1" applyFont="1" applyFill="1" applyBorder="1" applyAlignment="1">
      <alignment horizontal="left" vertical="center"/>
    </xf>
    <xf numFmtId="41" fontId="12" fillId="2" borderId="48" xfId="3" applyFont="1" applyFill="1" applyBorder="1" applyAlignment="1">
      <alignment horizontal="center" vertical="center"/>
    </xf>
    <xf numFmtId="185" fontId="12" fillId="2" borderId="47" xfId="3" applyNumberFormat="1" applyFont="1" applyFill="1" applyBorder="1" applyAlignment="1">
      <alignment vertical="center"/>
    </xf>
    <xf numFmtId="41" fontId="38" fillId="2" borderId="48" xfId="3" applyFont="1" applyFill="1" applyBorder="1" applyAlignment="1">
      <alignment horizontal="center" vertical="center"/>
    </xf>
    <xf numFmtId="41" fontId="7" fillId="2" borderId="49" xfId="3" applyFont="1" applyFill="1" applyBorder="1" applyAlignment="1">
      <alignment vertical="center"/>
    </xf>
    <xf numFmtId="186" fontId="7" fillId="2" borderId="50" xfId="3" applyNumberFormat="1" applyFont="1" applyFill="1" applyBorder="1" applyAlignment="1">
      <alignment horizontal="center" vertical="center"/>
    </xf>
    <xf numFmtId="179" fontId="7" fillId="2" borderId="0" xfId="3" applyNumberFormat="1" applyFont="1" applyFill="1" applyBorder="1" applyAlignment="1">
      <alignment horizontal="center" vertical="center"/>
    </xf>
    <xf numFmtId="176" fontId="39" fillId="2" borderId="44" xfId="3" applyNumberFormat="1" applyFont="1" applyFill="1" applyBorder="1" applyAlignment="1">
      <alignment horizontal="center" vertical="center"/>
    </xf>
    <xf numFmtId="176" fontId="39" fillId="2" borderId="45" xfId="3" applyNumberFormat="1" applyFont="1" applyFill="1" applyBorder="1" applyAlignment="1">
      <alignment horizontal="center" vertical="center"/>
    </xf>
    <xf numFmtId="186" fontId="39" fillId="2" borderId="46" xfId="3" applyNumberFormat="1" applyFont="1" applyFill="1" applyBorder="1" applyAlignment="1">
      <alignment horizontal="center" vertical="center"/>
    </xf>
    <xf numFmtId="186" fontId="39" fillId="2" borderId="51" xfId="3" applyNumberFormat="1" applyFont="1" applyFill="1" applyBorder="1" applyAlignment="1">
      <alignment horizontal="center" vertical="center"/>
    </xf>
    <xf numFmtId="41" fontId="7" fillId="2" borderId="52" xfId="3" applyFont="1" applyFill="1" applyBorder="1" applyAlignment="1">
      <alignment horizontal="center" vertical="center"/>
    </xf>
    <xf numFmtId="41" fontId="7" fillId="2" borderId="53" xfId="3" applyFont="1" applyFill="1" applyBorder="1" applyAlignment="1">
      <alignment horizontal="center" vertical="center"/>
    </xf>
    <xf numFmtId="41" fontId="40" fillId="2" borderId="54" xfId="3" applyFont="1" applyFill="1" applyBorder="1" applyAlignment="1">
      <alignment horizontal="center" vertical="center"/>
    </xf>
    <xf numFmtId="41" fontId="40" fillId="2" borderId="55" xfId="3" applyFont="1" applyFill="1" applyBorder="1" applyAlignment="1">
      <alignment horizontal="center" vertical="center"/>
    </xf>
    <xf numFmtId="41" fontId="40" fillId="2" borderId="56" xfId="3" applyFont="1" applyFill="1" applyBorder="1" applyAlignment="1">
      <alignment horizontal="center" vertical="center"/>
    </xf>
    <xf numFmtId="41" fontId="41" fillId="2" borderId="56" xfId="3" applyFont="1" applyFill="1" applyBorder="1" applyAlignment="1">
      <alignment horizontal="center" vertical="center"/>
    </xf>
    <xf numFmtId="41" fontId="41" fillId="2" borderId="55" xfId="3" applyFont="1" applyFill="1" applyBorder="1" applyAlignment="1">
      <alignment horizontal="center" vertical="center"/>
    </xf>
    <xf numFmtId="41" fontId="12" fillId="2" borderId="56" xfId="3" applyFont="1" applyFill="1" applyBorder="1" applyAlignment="1">
      <alignment horizontal="center" vertical="center"/>
    </xf>
    <xf numFmtId="41" fontId="12" fillId="2" borderId="55" xfId="3" applyFont="1" applyFill="1" applyBorder="1" applyAlignment="1">
      <alignment horizontal="center" vertical="center"/>
    </xf>
    <xf numFmtId="176" fontId="12" fillId="2" borderId="56" xfId="3" applyNumberFormat="1" applyFont="1" applyFill="1" applyBorder="1" applyAlignment="1">
      <alignment horizontal="left" vertical="center"/>
    </xf>
    <xf numFmtId="41" fontId="12" fillId="2" borderId="57" xfId="3" applyFont="1" applyFill="1" applyBorder="1" applyAlignment="1">
      <alignment horizontal="center" vertical="center"/>
    </xf>
    <xf numFmtId="185" fontId="12" fillId="2" borderId="56" xfId="3" applyNumberFormat="1" applyFont="1" applyFill="1" applyBorder="1" applyAlignment="1">
      <alignment vertical="center"/>
    </xf>
    <xf numFmtId="176" fontId="39" fillId="2" borderId="54" xfId="3" applyNumberFormat="1" applyFont="1" applyFill="1" applyBorder="1" applyAlignment="1">
      <alignment horizontal="center" vertical="center"/>
    </xf>
    <xf numFmtId="176" fontId="39" fillId="2" borderId="55" xfId="3" applyNumberFormat="1" applyFont="1" applyFill="1" applyBorder="1" applyAlignment="1">
      <alignment horizontal="center" vertical="center"/>
    </xf>
    <xf numFmtId="186" fontId="39" fillId="2" borderId="56" xfId="3" applyNumberFormat="1" applyFont="1" applyFill="1" applyBorder="1" applyAlignment="1">
      <alignment horizontal="center" vertical="center"/>
    </xf>
    <xf numFmtId="186" fontId="39" fillId="2" borderId="58" xfId="3" applyNumberFormat="1" applyFont="1" applyFill="1" applyBorder="1" applyAlignment="1">
      <alignment horizontal="center" vertical="center"/>
    </xf>
    <xf numFmtId="41" fontId="10" fillId="2" borderId="59" xfId="3" applyFont="1" applyFill="1" applyBorder="1" applyAlignment="1">
      <alignment horizontal="center" vertical="center"/>
    </xf>
    <xf numFmtId="41" fontId="10" fillId="2" borderId="60" xfId="3" applyFont="1" applyFill="1" applyBorder="1" applyAlignment="1">
      <alignment horizontal="center" vertical="center"/>
    </xf>
    <xf numFmtId="41" fontId="7" fillId="2" borderId="59" xfId="3" applyFont="1" applyFill="1" applyBorder="1" applyAlignment="1">
      <alignment horizontal="center" vertical="center"/>
    </xf>
    <xf numFmtId="41" fontId="7" fillId="2" borderId="61" xfId="3" applyFont="1" applyFill="1" applyBorder="1" applyAlignment="1">
      <alignment horizontal="center" vertical="center"/>
    </xf>
    <xf numFmtId="41" fontId="7" fillId="2" borderId="62" xfId="3" applyFont="1" applyFill="1" applyBorder="1" applyAlignment="1">
      <alignment horizontal="center" vertical="center"/>
    </xf>
    <xf numFmtId="41" fontId="7" fillId="2" borderId="63" xfId="3" applyFont="1" applyFill="1" applyBorder="1" applyAlignment="1">
      <alignment vertical="center"/>
    </xf>
    <xf numFmtId="41" fontId="7" fillId="2" borderId="64" xfId="3" applyFont="1" applyFill="1" applyBorder="1" applyAlignment="1">
      <alignment vertical="center"/>
    </xf>
    <xf numFmtId="186" fontId="7" fillId="2" borderId="24" xfId="3" applyNumberFormat="1" applyFont="1" applyFill="1" applyBorder="1" applyAlignment="1">
      <alignment horizontal="center" vertical="center"/>
    </xf>
    <xf numFmtId="41" fontId="7" fillId="2" borderId="65" xfId="3" applyFont="1" applyFill="1" applyBorder="1" applyAlignment="1">
      <alignment horizontal="center" vertical="center"/>
    </xf>
    <xf numFmtId="41" fontId="7" fillId="2" borderId="66" xfId="3" applyFont="1" applyFill="1" applyBorder="1" applyAlignment="1">
      <alignment horizontal="center" vertical="center"/>
    </xf>
    <xf numFmtId="41" fontId="8" fillId="2" borderId="59" xfId="3" applyFont="1" applyFill="1" applyBorder="1" applyAlignment="1">
      <alignment horizontal="center" vertical="center"/>
    </xf>
    <xf numFmtId="41" fontId="8" fillId="2" borderId="61" xfId="3" applyFont="1" applyFill="1" applyBorder="1" applyAlignment="1">
      <alignment horizontal="center" vertical="center"/>
    </xf>
    <xf numFmtId="186" fontId="8" fillId="2" borderId="62" xfId="3" applyNumberFormat="1" applyFont="1" applyFill="1" applyBorder="1" applyAlignment="1">
      <alignment horizontal="center" vertical="center"/>
    </xf>
    <xf numFmtId="186" fontId="8" fillId="2" borderId="60" xfId="3" applyNumberFormat="1" applyFont="1" applyFill="1" applyBorder="1" applyAlignment="1">
      <alignment horizontal="center" vertical="center"/>
    </xf>
    <xf numFmtId="41" fontId="7" fillId="2" borderId="34" xfId="3" applyFont="1" applyFill="1" applyBorder="1" applyAlignment="1">
      <alignment horizontal="center" vertical="center"/>
    </xf>
    <xf numFmtId="41" fontId="7" fillId="2" borderId="40" xfId="3" applyFont="1" applyFill="1" applyBorder="1" applyAlignment="1">
      <alignment horizontal="center" vertical="center"/>
    </xf>
    <xf numFmtId="0" fontId="42" fillId="2" borderId="0" xfId="0" applyFont="1" applyFill="1">
      <alignment vertical="center"/>
    </xf>
    <xf numFmtId="41" fontId="43" fillId="2" borderId="67" xfId="1" applyFont="1" applyFill="1" applyBorder="1" applyAlignment="1">
      <alignment horizontal="center" vertical="center"/>
    </xf>
    <xf numFmtId="41" fontId="8" fillId="2" borderId="34" xfId="3" applyFont="1" applyFill="1" applyBorder="1" applyAlignment="1">
      <alignment horizontal="center" vertical="center"/>
    </xf>
    <xf numFmtId="41" fontId="8" fillId="2" borderId="35" xfId="3" applyFont="1" applyFill="1" applyBorder="1" applyAlignment="1">
      <alignment horizontal="center" vertical="center"/>
    </xf>
    <xf numFmtId="186" fontId="8" fillId="2" borderId="34" xfId="3" applyNumberFormat="1" applyFont="1" applyFill="1" applyBorder="1" applyAlignment="1">
      <alignment horizontal="center" vertical="center"/>
    </xf>
    <xf numFmtId="186" fontId="8" fillId="2" borderId="35" xfId="3" applyNumberFormat="1" applyFont="1" applyFill="1" applyBorder="1" applyAlignment="1">
      <alignment horizontal="center" vertical="center"/>
    </xf>
    <xf numFmtId="41" fontId="43" fillId="2" borderId="0" xfId="1" applyFont="1" applyFill="1" applyAlignment="1">
      <alignment horizontal="center" vertical="center"/>
    </xf>
    <xf numFmtId="41" fontId="7" fillId="2" borderId="35" xfId="3" applyFont="1" applyFill="1" applyBorder="1" applyAlignment="1">
      <alignment horizontal="center" vertical="center"/>
    </xf>
    <xf numFmtId="187" fontId="0" fillId="2" borderId="0" xfId="0" applyNumberFormat="1" applyFill="1">
      <alignment vertical="center"/>
    </xf>
    <xf numFmtId="41" fontId="3" fillId="2" borderId="0" xfId="2" applyNumberFormat="1" applyFill="1" applyAlignment="1">
      <alignment horizontal="center"/>
    </xf>
    <xf numFmtId="0" fontId="44" fillId="8" borderId="68" xfId="2" applyFont="1" applyFill="1" applyBorder="1" applyAlignment="1">
      <alignment horizontal="center" vertical="center"/>
    </xf>
    <xf numFmtId="41" fontId="44" fillId="8" borderId="69" xfId="1" applyFont="1" applyFill="1" applyBorder="1" applyAlignment="1">
      <alignment horizontal="center"/>
    </xf>
    <xf numFmtId="0" fontId="46" fillId="8" borderId="0" xfId="2" applyFont="1" applyFill="1" applyBorder="1"/>
    <xf numFmtId="0" fontId="44" fillId="8" borderId="70" xfId="2" applyFont="1" applyFill="1" applyBorder="1" applyAlignment="1">
      <alignment horizontal="center" vertical="center"/>
    </xf>
    <xf numFmtId="41" fontId="44" fillId="8" borderId="71" xfId="2" applyNumberFormat="1" applyFont="1" applyFill="1" applyBorder="1" applyAlignment="1">
      <alignment horizontal="center"/>
    </xf>
    <xf numFmtId="0" fontId="44" fillId="8" borderId="72" xfId="2" applyFont="1" applyFill="1" applyBorder="1" applyAlignment="1">
      <alignment horizontal="center" vertical="center"/>
    </xf>
    <xf numFmtId="41" fontId="44" fillId="8" borderId="71" xfId="1" applyFont="1" applyFill="1" applyBorder="1" applyAlignment="1">
      <alignment horizontal="center"/>
    </xf>
    <xf numFmtId="0" fontId="44" fillId="8" borderId="73" xfId="2" applyFont="1" applyFill="1" applyBorder="1" applyAlignment="1">
      <alignment horizontal="center" vertical="center"/>
    </xf>
    <xf numFmtId="41" fontId="44" fillId="8" borderId="74" xfId="1" applyFont="1" applyFill="1" applyBorder="1" applyAlignment="1">
      <alignment horizontal="center"/>
    </xf>
    <xf numFmtId="0" fontId="44" fillId="8" borderId="75" xfId="2" applyFont="1" applyFill="1" applyBorder="1" applyAlignment="1">
      <alignment horizontal="center" vertical="center"/>
    </xf>
    <xf numFmtId="41" fontId="44" fillId="8" borderId="76" xfId="1" applyFont="1" applyFill="1" applyBorder="1" applyAlignment="1">
      <alignment horizontal="center"/>
    </xf>
    <xf numFmtId="0" fontId="44" fillId="8" borderId="77" xfId="2" applyFont="1" applyFill="1" applyBorder="1" applyAlignment="1">
      <alignment horizontal="center" vertical="center"/>
    </xf>
    <xf numFmtId="0" fontId="44" fillId="8" borderId="78" xfId="2" applyFont="1" applyFill="1" applyBorder="1" applyAlignment="1">
      <alignment horizontal="center" vertical="center"/>
    </xf>
    <xf numFmtId="41" fontId="44" fillId="8" borderId="79" xfId="1" applyFont="1" applyFill="1" applyBorder="1" applyAlignment="1">
      <alignment horizontal="center"/>
    </xf>
    <xf numFmtId="41" fontId="47" fillId="8" borderId="80" xfId="1" applyFont="1" applyFill="1" applyBorder="1">
      <alignment vertical="center"/>
    </xf>
    <xf numFmtId="0" fontId="0" fillId="0" borderId="0" xfId="0" applyAlignment="1"/>
    <xf numFmtId="0" fontId="55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7" fillId="0" borderId="81" xfId="0" applyFont="1" applyBorder="1" applyAlignment="1">
      <alignment horizontal="centerContinuous"/>
    </xf>
    <xf numFmtId="0" fontId="57" fillId="0" borderId="5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88" fontId="7" fillId="0" borderId="8" xfId="5" applyNumberFormat="1" applyFont="1" applyFill="1" applyBorder="1" applyAlignment="1">
      <alignment horizontal="right" vertical="center"/>
    </xf>
    <xf numFmtId="188" fontId="7" fillId="0" borderId="10" xfId="5" applyNumberFormat="1" applyFont="1" applyBorder="1" applyAlignment="1">
      <alignment horizontal="right" vertical="center"/>
    </xf>
    <xf numFmtId="0" fontId="60" fillId="0" borderId="0" xfId="0" applyFont="1" applyAlignment="1">
      <alignment horizontal="center" vertical="center"/>
    </xf>
    <xf numFmtId="0" fontId="54" fillId="0" borderId="0" xfId="6">
      <alignment vertical="center"/>
    </xf>
    <xf numFmtId="189" fontId="7" fillId="0" borderId="8" xfId="5" applyNumberFormat="1" applyFont="1" applyFill="1" applyBorder="1" applyAlignment="1">
      <alignment horizontal="center" vertical="center"/>
    </xf>
    <xf numFmtId="176" fontId="7" fillId="0" borderId="10" xfId="5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88" fontId="7" fillId="0" borderId="13" xfId="5" applyNumberFormat="1" applyFont="1" applyFill="1" applyBorder="1" applyAlignment="1">
      <alignment horizontal="right" vertical="center"/>
    </xf>
    <xf numFmtId="188" fontId="61" fillId="0" borderId="20" xfId="5" applyNumberFormat="1" applyFont="1" applyBorder="1" applyAlignment="1">
      <alignment horizontal="right" vertical="center"/>
    </xf>
    <xf numFmtId="0" fontId="10" fillId="0" borderId="83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/>
    </xf>
    <xf numFmtId="188" fontId="7" fillId="0" borderId="83" xfId="5" applyNumberFormat="1" applyFont="1" applyFill="1" applyBorder="1" applyAlignment="1">
      <alignment horizontal="right" vertical="center"/>
    </xf>
    <xf numFmtId="188" fontId="61" fillId="0" borderId="83" xfId="5" applyNumberFormat="1" applyFont="1" applyBorder="1" applyAlignment="1">
      <alignment horizontal="right" vertical="center"/>
    </xf>
    <xf numFmtId="0" fontId="10" fillId="9" borderId="83" xfId="0" applyFont="1" applyFill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2" fillId="0" borderId="0" xfId="0" applyFont="1" applyAlignment="1"/>
    <xf numFmtId="41" fontId="62" fillId="0" borderId="0" xfId="1" applyFont="1" applyAlignment="1"/>
    <xf numFmtId="0" fontId="7" fillId="0" borderId="85" xfId="0" applyFont="1" applyBorder="1" applyAlignment="1">
      <alignment horizontal="center" vertical="center" wrapText="1"/>
    </xf>
    <xf numFmtId="176" fontId="7" fillId="0" borderId="8" xfId="5" applyNumberFormat="1" applyFont="1" applyBorder="1" applyAlignment="1">
      <alignment horizontal="center" vertical="center"/>
    </xf>
    <xf numFmtId="190" fontId="7" fillId="0" borderId="8" xfId="5" applyNumberFormat="1" applyFont="1" applyBorder="1" applyAlignment="1">
      <alignment horizontal="center" vertical="center"/>
    </xf>
    <xf numFmtId="176" fontId="57" fillId="0" borderId="10" xfId="0" applyNumberFormat="1" applyFont="1" applyBorder="1" applyAlignment="1">
      <alignment vertical="center"/>
    </xf>
    <xf numFmtId="41" fontId="0" fillId="0" borderId="0" xfId="1" applyFont="1" applyAlignment="1"/>
    <xf numFmtId="176" fontId="57" fillId="0" borderId="10" xfId="5" applyFont="1" applyBorder="1" applyAlignment="1">
      <alignment vertical="center"/>
    </xf>
    <xf numFmtId="179" fontId="0" fillId="0" borderId="0" xfId="0" applyNumberFormat="1" applyAlignment="1"/>
    <xf numFmtId="176" fontId="7" fillId="0" borderId="8" xfId="5" applyNumberFormat="1" applyFont="1" applyFill="1" applyBorder="1" applyAlignment="1">
      <alignment horizontal="center" vertical="center"/>
    </xf>
    <xf numFmtId="176" fontId="44" fillId="0" borderId="8" xfId="5" applyFont="1" applyBorder="1" applyAlignment="1">
      <alignment horizontal="center" vertical="center"/>
    </xf>
    <xf numFmtId="181" fontId="7" fillId="3" borderId="10" xfId="5" applyNumberFormat="1" applyFont="1" applyFill="1" applyBorder="1" applyAlignment="1">
      <alignment horizontal="right" vertical="center"/>
    </xf>
    <xf numFmtId="176" fontId="0" fillId="0" borderId="0" xfId="0" applyNumberFormat="1" applyAlignment="1"/>
    <xf numFmtId="176" fontId="7" fillId="0" borderId="10" xfId="5" applyFont="1" applyFill="1" applyBorder="1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176" fontId="7" fillId="0" borderId="31" xfId="5" applyNumberFormat="1" applyFont="1" applyBorder="1" applyAlignment="1">
      <alignment horizontal="center" vertical="center"/>
    </xf>
    <xf numFmtId="179" fontId="44" fillId="0" borderId="8" xfId="5" applyNumberFormat="1" applyFont="1" applyBorder="1" applyAlignment="1">
      <alignment horizontal="center" vertical="center"/>
    </xf>
    <xf numFmtId="176" fontId="63" fillId="3" borderId="10" xfId="0" applyNumberFormat="1" applyFont="1" applyFill="1" applyBorder="1" applyAlignment="1">
      <alignment vertical="center"/>
    </xf>
    <xf numFmtId="0" fontId="7" fillId="0" borderId="8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176" fontId="7" fillId="0" borderId="15" xfId="5" applyNumberFormat="1" applyFont="1" applyBorder="1" applyAlignment="1">
      <alignment horizontal="center" vertical="center"/>
    </xf>
    <xf numFmtId="190" fontId="10" fillId="0" borderId="31" xfId="5" applyNumberFormat="1" applyFont="1" applyBorder="1" applyAlignment="1">
      <alignment horizontal="center" vertical="center"/>
    </xf>
    <xf numFmtId="176" fontId="61" fillId="0" borderId="32" xfId="5" applyFont="1" applyBorder="1" applyAlignment="1">
      <alignment horizontal="right" vertical="center"/>
    </xf>
    <xf numFmtId="3" fontId="62" fillId="0" borderId="0" xfId="0" applyNumberFormat="1" applyFont="1" applyAlignment="1"/>
    <xf numFmtId="0" fontId="7" fillId="0" borderId="81" xfId="0" applyFont="1" applyBorder="1" applyAlignment="1">
      <alignment horizontal="center" vertical="center" wrapText="1"/>
    </xf>
    <xf numFmtId="176" fontId="7" fillId="0" borderId="3" xfId="5" applyFont="1" applyBorder="1" applyAlignment="1">
      <alignment horizontal="center" vertical="center"/>
    </xf>
    <xf numFmtId="176" fontId="12" fillId="3" borderId="4" xfId="5" applyFont="1" applyFill="1" applyBorder="1" applyAlignment="1">
      <alignment horizontal="center" vertical="center"/>
    </xf>
    <xf numFmtId="43" fontId="0" fillId="0" borderId="0" xfId="0" applyNumberFormat="1" applyAlignment="1"/>
    <xf numFmtId="176" fontId="7" fillId="0" borderId="8" xfId="5" applyFont="1" applyBorder="1" applyAlignment="1">
      <alignment horizontal="center" vertical="center"/>
    </xf>
    <xf numFmtId="0" fontId="7" fillId="0" borderId="10" xfId="0" applyNumberFormat="1" applyFont="1" applyBorder="1" applyAlignment="1">
      <alignment vertical="center"/>
    </xf>
    <xf numFmtId="176" fontId="7" fillId="0" borderId="10" xfId="0" applyNumberFormat="1" applyFont="1" applyBorder="1" applyAlignment="1">
      <alignment vertical="center"/>
    </xf>
    <xf numFmtId="176" fontId="7" fillId="0" borderId="8" xfId="5" applyNumberFormat="1" applyFont="1" applyBorder="1" applyAlignment="1">
      <alignment horizontal="center" vertical="center"/>
    </xf>
    <xf numFmtId="9" fontId="7" fillId="0" borderId="10" xfId="7" applyFont="1" applyBorder="1" applyAlignment="1">
      <alignment vertical="center"/>
    </xf>
    <xf numFmtId="9" fontId="32" fillId="0" borderId="31" xfId="7" applyFont="1" applyBorder="1" applyAlignment="1">
      <alignment horizontal="center" vertical="center"/>
    </xf>
    <xf numFmtId="0" fontId="64" fillId="0" borderId="31" xfId="0" applyFont="1" applyBorder="1" applyAlignment="1"/>
    <xf numFmtId="176" fontId="7" fillId="0" borderId="31" xfId="5" applyFont="1" applyBorder="1" applyAlignment="1">
      <alignment horizontal="center" vertical="center"/>
    </xf>
    <xf numFmtId="176" fontId="7" fillId="0" borderId="32" xfId="5" applyNumberFormat="1" applyFont="1" applyBorder="1" applyAlignment="1">
      <alignment horizontal="right" vertical="center"/>
    </xf>
    <xf numFmtId="0" fontId="7" fillId="0" borderId="87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176" fontId="8" fillId="0" borderId="8" xfId="5" applyNumberFormat="1" applyFont="1" applyBorder="1" applyAlignment="1">
      <alignment horizontal="center" vertical="center"/>
    </xf>
    <xf numFmtId="179" fontId="7" fillId="0" borderId="8" xfId="5" applyNumberFormat="1" applyFont="1" applyBorder="1" applyAlignment="1">
      <alignment horizontal="center" vertical="center"/>
    </xf>
    <xf numFmtId="179" fontId="7" fillId="0" borderId="20" xfId="5" applyNumberFormat="1" applyFont="1" applyBorder="1" applyAlignment="1">
      <alignment horizontal="center" vertical="center"/>
    </xf>
    <xf numFmtId="0" fontId="57" fillId="0" borderId="89" xfId="0" applyFont="1" applyBorder="1" applyAlignment="1">
      <alignment horizontal="center" vertical="center"/>
    </xf>
    <xf numFmtId="176" fontId="7" fillId="0" borderId="90" xfId="5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176" fontId="65" fillId="0" borderId="0" xfId="0" applyNumberFormat="1" applyFont="1" applyAlignment="1"/>
    <xf numFmtId="191" fontId="24" fillId="0" borderId="8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66" fillId="0" borderId="32" xfId="5" applyFont="1" applyBorder="1" applyAlignment="1">
      <alignment horizontal="center" vertical="center"/>
    </xf>
    <xf numFmtId="176" fontId="67" fillId="0" borderId="0" xfId="0" applyNumberFormat="1" applyFont="1" applyAlignment="1"/>
    <xf numFmtId="176" fontId="0" fillId="0" borderId="0" xfId="5" applyFont="1"/>
    <xf numFmtId="176" fontId="7" fillId="0" borderId="0" xfId="0" applyNumberFormat="1" applyFont="1" applyBorder="1" applyAlignment="1">
      <alignment horizontal="center" vertical="center"/>
    </xf>
    <xf numFmtId="176" fontId="39" fillId="0" borderId="0" xfId="5" applyFont="1" applyBorder="1" applyAlignment="1">
      <alignment horizontal="center" vertical="center"/>
    </xf>
    <xf numFmtId="0" fontId="68" fillId="0" borderId="0" xfId="0" applyFont="1" applyAlignment="1"/>
    <xf numFmtId="0" fontId="69" fillId="0" borderId="91" xfId="8" applyFont="1" applyBorder="1" applyAlignment="1">
      <alignment horizontal="center" vertical="center"/>
    </xf>
    <xf numFmtId="176" fontId="0" fillId="0" borderId="83" xfId="0" applyNumberFormat="1" applyBorder="1" applyAlignment="1"/>
    <xf numFmtId="191" fontId="0" fillId="0" borderId="0" xfId="0" applyNumberFormat="1" applyAlignment="1"/>
    <xf numFmtId="0" fontId="0" fillId="0" borderId="0" xfId="0" applyAlignment="1">
      <alignment horizontal="center"/>
    </xf>
    <xf numFmtId="9" fontId="0" fillId="0" borderId="0" xfId="0" applyNumberFormat="1" applyAlignment="1"/>
    <xf numFmtId="41" fontId="0" fillId="0" borderId="0" xfId="1" applyFont="1" applyAlignment="1">
      <alignment horizontal="center"/>
    </xf>
  </cellXfs>
  <cellStyles count="9">
    <cellStyle name="백분율 2" xfId="7" xr:uid="{5BAA7CE6-9C65-41D3-892B-76D3BF1F6E88}"/>
    <cellStyle name="쉼표 [0]" xfId="1" builtinId="6"/>
    <cellStyle name="쉼표 [0] 2" xfId="5" xr:uid="{2F1819E3-96D0-42B4-BDE7-E27B35533032}"/>
    <cellStyle name="쉼표 [0] 3" xfId="3" xr:uid="{A5AA32CA-E380-4977-844B-E37131549B47}"/>
    <cellStyle name="표준" xfId="0" builtinId="0"/>
    <cellStyle name="표준 2" xfId="2" xr:uid="{4FC74374-42FB-4223-9FB6-22850742CB3F}"/>
    <cellStyle name="표준 4" xfId="4" xr:uid="{03404006-528D-4864-8567-009C864925F7}"/>
    <cellStyle name="표준_성신양회(10.09" xfId="8" xr:uid="{DABF85DE-281D-4F60-B5CE-11FA06F961E7}"/>
    <cellStyle name="하이퍼링크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0CA6ABE-6E35-4AEF-9C74-60240F7D87BB}"/>
            </a:ext>
          </a:extLst>
        </xdr:cNvPr>
        <xdr:cNvSpPr>
          <a:spLocks noChangeShapeType="1"/>
        </xdr:cNvSpPr>
      </xdr:nvSpPr>
      <xdr:spPr bwMode="auto">
        <a:xfrm>
          <a:off x="104775" y="933450"/>
          <a:ext cx="1466850" cy="38100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156880</xdr:colOff>
      <xdr:row>67</xdr:row>
      <xdr:rowOff>56028</xdr:rowOff>
    </xdr:from>
    <xdr:to>
      <xdr:col>13</xdr:col>
      <xdr:colOff>117245</xdr:colOff>
      <xdr:row>72</xdr:row>
      <xdr:rowOff>156883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A03B841-8D1B-491C-932F-43D1332FE7B4}"/>
            </a:ext>
          </a:extLst>
        </xdr:cNvPr>
        <xdr:cNvGrpSpPr/>
      </xdr:nvGrpSpPr>
      <xdr:grpSpPr>
        <a:xfrm>
          <a:off x="2197951" y="13840064"/>
          <a:ext cx="6763937" cy="1148605"/>
          <a:chOff x="1972234" y="14534028"/>
          <a:chExt cx="7513129" cy="1154208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1890C099-E84B-474A-A4B8-9F4038610F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72234" y="14534028"/>
            <a:ext cx="2427779" cy="1109383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017FB32-4B8F-4FB4-93DC-CB00BCC872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381501" y="14825382"/>
            <a:ext cx="5103862" cy="86285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0</xdr:rowOff>
    </xdr:from>
    <xdr:to>
      <xdr:col>15</xdr:col>
      <xdr:colOff>332739</xdr:colOff>
      <xdr:row>5</xdr:row>
      <xdr:rowOff>209393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F17658-F641-4D8C-A481-FEE7390B8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475" y="0"/>
          <a:ext cx="5085714" cy="1257143"/>
        </a:xfrm>
        <a:prstGeom prst="rect">
          <a:avLst/>
        </a:prstGeom>
      </xdr:spPr>
    </xdr:pic>
    <xdr:clientData/>
  </xdr:twoCellAnchor>
  <xdr:twoCellAnchor editAs="oneCell">
    <xdr:from>
      <xdr:col>10</xdr:col>
      <xdr:colOff>919112</xdr:colOff>
      <xdr:row>13</xdr:row>
      <xdr:rowOff>123824</xdr:rowOff>
    </xdr:from>
    <xdr:to>
      <xdr:col>17</xdr:col>
      <xdr:colOff>63237</xdr:colOff>
      <xdr:row>32</xdr:row>
      <xdr:rowOff>190499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AEEB01B-89B5-4F37-8422-B7E12885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3062" y="3209924"/>
          <a:ext cx="4173325" cy="4048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0900;&#48372;%20(2607&#50900;)%20&#44032;&#47560;&#44048;%20&#44592;&#53440;&#51228;&#508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 DM 검침"/>
      <sheetName val="1.단독계량"/>
      <sheetName val="2.기존ESS"/>
      <sheetName val="2-1.MTR#4 ESS"/>
      <sheetName val="2-2.MTR#3 ESS"/>
      <sheetName val="2-3.합성계량"/>
      <sheetName val="3.한솔골재주식회사(사용x)"/>
      <sheetName val="4.생산월보"/>
      <sheetName val="5.출하"/>
      <sheetName val="6.검침량"/>
      <sheetName val="7.실적DATA"/>
      <sheetName val="8.Factor산출"/>
      <sheetName val="9.1공장 검침"/>
      <sheetName val="10.1공장보도표"/>
      <sheetName val="11.2공장 검침"/>
      <sheetName val="12.2공장보도표"/>
      <sheetName val="13.전력월보"/>
      <sheetName val="14.마감내역"/>
      <sheetName val="15.GHG 산출"/>
      <sheetName val="Sheet1"/>
      <sheetName val="Sheet2"/>
    </sheetNames>
    <sheetDataSet>
      <sheetData sheetId="0">
        <row r="32">
          <cell r="D32">
            <v>18376960</v>
          </cell>
        </row>
        <row r="33">
          <cell r="D33">
            <v>16597683</v>
          </cell>
        </row>
        <row r="34">
          <cell r="D34">
            <v>18296230</v>
          </cell>
        </row>
        <row r="35">
          <cell r="D35">
            <v>16532633</v>
          </cell>
        </row>
      </sheetData>
      <sheetData sheetId="1">
        <row r="3">
          <cell r="B3" t="str">
            <v>⊙ 적용일 : 2026.7.1 ~ 7.31</v>
          </cell>
        </row>
        <row r="14">
          <cell r="D14">
            <v>5069136.9999999721</v>
          </cell>
          <cell r="E14">
            <v>1179016.9999999909</v>
          </cell>
          <cell r="F14">
            <v>12685485.000000024</v>
          </cell>
          <cell r="I14">
            <v>6142079.9999999655</v>
          </cell>
          <cell r="J14">
            <v>3333119.9999999991</v>
          </cell>
          <cell r="K14">
            <v>12686240.000000048</v>
          </cell>
        </row>
        <row r="15">
          <cell r="D15">
            <v>173.1</v>
          </cell>
          <cell r="E15">
            <v>254.4</v>
          </cell>
          <cell r="F15">
            <v>120.80000000000001</v>
          </cell>
        </row>
        <row r="19">
          <cell r="G19">
            <v>8190</v>
          </cell>
        </row>
        <row r="22">
          <cell r="D22">
            <v>3771768</v>
          </cell>
          <cell r="E22">
            <v>2836008</v>
          </cell>
          <cell r="G22">
            <v>707354968</v>
          </cell>
          <cell r="I22">
            <v>2134720</v>
          </cell>
          <cell r="J22">
            <v>1995728.0000000002</v>
          </cell>
          <cell r="L22">
            <v>375167520</v>
          </cell>
        </row>
        <row r="28">
          <cell r="D28">
            <v>3013920.0000000093</v>
          </cell>
          <cell r="E28">
            <v>1394399.9999999923</v>
          </cell>
          <cell r="I28">
            <v>3019519.9999999786</v>
          </cell>
          <cell r="J28">
            <v>1646399.9999999923</v>
          </cell>
        </row>
        <row r="35">
          <cell r="C35">
            <v>2709816127.4999962</v>
          </cell>
          <cell r="D35">
            <v>707354968</v>
          </cell>
          <cell r="E35">
            <v>126435330</v>
          </cell>
          <cell r="F35">
            <v>343388027</v>
          </cell>
          <cell r="H35">
            <v>3443637568</v>
          </cell>
          <cell r="I35">
            <v>375167520</v>
          </cell>
          <cell r="J35">
            <v>141295780</v>
          </cell>
          <cell r="K35">
            <v>381880509</v>
          </cell>
        </row>
      </sheetData>
      <sheetData sheetId="2"/>
      <sheetData sheetId="3"/>
      <sheetData sheetId="4"/>
      <sheetData sheetId="5">
        <row r="8">
          <cell r="G8">
            <v>41095079</v>
          </cell>
        </row>
        <row r="15">
          <cell r="G15">
            <v>90678</v>
          </cell>
        </row>
        <row r="19">
          <cell r="D19">
            <v>80730</v>
          </cell>
          <cell r="E19">
            <v>65050</v>
          </cell>
        </row>
        <row r="31">
          <cell r="C31">
            <v>6728784800</v>
          </cell>
          <cell r="D31">
            <v>750079348</v>
          </cell>
          <cell r="E31">
            <v>201929330</v>
          </cell>
          <cell r="F31">
            <v>747886415</v>
          </cell>
        </row>
      </sheetData>
      <sheetData sheetId="6"/>
      <sheetData sheetId="7"/>
      <sheetData sheetId="8"/>
      <sheetData sheetId="9"/>
      <sheetData sheetId="10">
        <row r="1">
          <cell r="B1">
            <v>7</v>
          </cell>
        </row>
        <row r="4">
          <cell r="F4">
            <v>0</v>
          </cell>
          <cell r="G4">
            <v>242</v>
          </cell>
          <cell r="H4">
            <v>0</v>
          </cell>
          <cell r="I4">
            <v>0</v>
          </cell>
        </row>
        <row r="5">
          <cell r="F5">
            <v>0</v>
          </cell>
          <cell r="G5">
            <v>484</v>
          </cell>
          <cell r="H5">
            <v>0</v>
          </cell>
          <cell r="I5">
            <v>12673</v>
          </cell>
        </row>
        <row r="6">
          <cell r="F6">
            <v>61187</v>
          </cell>
          <cell r="G6">
            <v>4355</v>
          </cell>
          <cell r="H6">
            <v>76588</v>
          </cell>
          <cell r="I6">
            <v>13032</v>
          </cell>
        </row>
        <row r="7">
          <cell r="F7">
            <v>0</v>
          </cell>
          <cell r="G7">
            <v>2606</v>
          </cell>
          <cell r="I7">
            <v>11458</v>
          </cell>
        </row>
        <row r="8">
          <cell r="F8">
            <v>55439</v>
          </cell>
          <cell r="G8">
            <v>13922</v>
          </cell>
          <cell r="H8">
            <v>20666</v>
          </cell>
          <cell r="I8">
            <v>37838</v>
          </cell>
        </row>
        <row r="9">
          <cell r="F9">
            <v>29015</v>
          </cell>
          <cell r="G9">
            <v>3044</v>
          </cell>
          <cell r="H9">
            <v>232311</v>
          </cell>
          <cell r="I9">
            <v>39384</v>
          </cell>
        </row>
        <row r="10">
          <cell r="F10">
            <v>189414</v>
          </cell>
          <cell r="I10">
            <v>40510</v>
          </cell>
        </row>
        <row r="11">
          <cell r="F11">
            <v>178208</v>
          </cell>
          <cell r="I11">
            <v>10788</v>
          </cell>
        </row>
        <row r="12">
          <cell r="I12">
            <v>52300</v>
          </cell>
        </row>
        <row r="13">
          <cell r="I13">
            <v>53817</v>
          </cell>
        </row>
        <row r="14">
          <cell r="I14">
            <v>84</v>
          </cell>
        </row>
        <row r="15">
          <cell r="I15">
            <v>32646</v>
          </cell>
        </row>
        <row r="16">
          <cell r="I16">
            <v>42159</v>
          </cell>
        </row>
        <row r="17">
          <cell r="D17">
            <v>236125</v>
          </cell>
          <cell r="E17">
            <v>230310</v>
          </cell>
        </row>
        <row r="20">
          <cell r="J20">
            <v>285511.20999999996</v>
          </cell>
        </row>
        <row r="21">
          <cell r="D21">
            <v>0.84149771120514349</v>
          </cell>
          <cell r="E21">
            <v>1.3043214523679725</v>
          </cell>
          <cell r="F21">
            <v>1.2082297662764558</v>
          </cell>
          <cell r="G21">
            <v>5.1856164995874136E-2</v>
          </cell>
        </row>
      </sheetData>
      <sheetData sheetId="11">
        <row r="53">
          <cell r="F53">
            <v>158258407</v>
          </cell>
        </row>
      </sheetData>
      <sheetData sheetId="12">
        <row r="409">
          <cell r="F409">
            <v>1624308</v>
          </cell>
        </row>
      </sheetData>
      <sheetData sheetId="13">
        <row r="6">
          <cell r="Y6">
            <v>0</v>
          </cell>
        </row>
        <row r="7">
          <cell r="Y7">
            <v>0</v>
          </cell>
        </row>
        <row r="8">
          <cell r="Y8">
            <v>0</v>
          </cell>
        </row>
        <row r="9">
          <cell r="Y9">
            <v>0</v>
          </cell>
        </row>
        <row r="10">
          <cell r="D10">
            <v>44663.999999999069</v>
          </cell>
          <cell r="E10">
            <v>0.22854155333391424</v>
          </cell>
          <cell r="X10">
            <v>44663.999999999069</v>
          </cell>
          <cell r="Y10">
            <v>0.22854155333391424</v>
          </cell>
        </row>
        <row r="19">
          <cell r="D19">
            <v>1.4551915228366852E-10</v>
          </cell>
          <cell r="E19" t="str">
            <v>0</v>
          </cell>
          <cell r="F19">
            <v>0</v>
          </cell>
          <cell r="G19" t="str">
            <v>0</v>
          </cell>
          <cell r="H19">
            <v>763400.00000002328</v>
          </cell>
          <cell r="I19">
            <v>16.273375010014227</v>
          </cell>
          <cell r="J19">
            <v>0</v>
          </cell>
          <cell r="K19" t="str">
            <v>0</v>
          </cell>
          <cell r="L19">
            <v>440300.00000000291</v>
          </cell>
          <cell r="M19">
            <v>10.359002425686286</v>
          </cell>
          <cell r="N19">
            <v>207439.99999999505</v>
          </cell>
          <cell r="O19">
            <v>9.3251229391420214</v>
          </cell>
          <cell r="X19">
            <v>1411140.0000000214</v>
          </cell>
          <cell r="Y19">
            <v>12.637788632971271</v>
          </cell>
        </row>
        <row r="20">
          <cell r="D20">
            <v>0</v>
          </cell>
          <cell r="E20" t="str">
            <v>0</v>
          </cell>
          <cell r="F20">
            <v>0</v>
          </cell>
          <cell r="G20" t="str">
            <v>0</v>
          </cell>
          <cell r="H20">
            <v>182400.00000000146</v>
          </cell>
          <cell r="I20">
            <v>3.8882153547635947</v>
          </cell>
          <cell r="J20">
            <v>0</v>
          </cell>
          <cell r="K20" t="str">
            <v>0</v>
          </cell>
          <cell r="L20">
            <v>270319.99999999971</v>
          </cell>
          <cell r="M20">
            <v>6.3598581324358294</v>
          </cell>
          <cell r="N20">
            <v>203719.99999999753</v>
          </cell>
          <cell r="O20">
            <v>9.1578964768705884</v>
          </cell>
          <cell r="X20">
            <v>656439.99999999872</v>
          </cell>
          <cell r="Y20">
            <v>5.8788993085218468</v>
          </cell>
        </row>
        <row r="21">
          <cell r="H21">
            <v>125100.00000000218</v>
          </cell>
          <cell r="I21">
            <v>2.6667529653559776</v>
          </cell>
          <cell r="J21">
            <v>0</v>
          </cell>
          <cell r="K21" t="str">
            <v>0</v>
          </cell>
          <cell r="N21">
            <v>10890</v>
          </cell>
          <cell r="O21">
            <v>0.48954198229492402</v>
          </cell>
          <cell r="X21">
            <v>135990.00000000218</v>
          </cell>
          <cell r="Y21">
            <v>1.2178897035005487</v>
          </cell>
        </row>
        <row r="22">
          <cell r="D22">
            <v>0.42569430587536772</v>
          </cell>
          <cell r="E22" t="str">
            <v>0</v>
          </cell>
          <cell r="F22">
            <v>0</v>
          </cell>
          <cell r="G22" t="str">
            <v>0</v>
          </cell>
          <cell r="H22">
            <v>198016.20780490743</v>
          </cell>
          <cell r="I22">
            <v>4.2211055903459087</v>
          </cell>
          <cell r="J22">
            <v>47160.000000000196</v>
          </cell>
          <cell r="K22" t="str">
            <v>0</v>
          </cell>
          <cell r="L22">
            <v>190558.87799676205</v>
          </cell>
          <cell r="M22">
            <v>4.4833065623540822</v>
          </cell>
          <cell r="N22">
            <v>32081.709405662576</v>
          </cell>
          <cell r="O22">
            <v>1.442180313852871</v>
          </cell>
          <cell r="X22">
            <v>467817.22090163809</v>
          </cell>
          <cell r="Y22">
            <v>4.1896446536976075</v>
          </cell>
        </row>
        <row r="24">
          <cell r="E24" t="e">
            <v>#DIV/0!</v>
          </cell>
          <cell r="G24" t="e">
            <v>#DIV/0!</v>
          </cell>
          <cell r="I24">
            <v>20.738330164984951</v>
          </cell>
          <cell r="M24">
            <v>16.25532347258725</v>
          </cell>
          <cell r="O24">
            <v>15.651618452719459</v>
          </cell>
        </row>
        <row r="25">
          <cell r="D25">
            <v>5578.9999999992724</v>
          </cell>
          <cell r="E25">
            <v>1.1954774566609259</v>
          </cell>
          <cell r="F25">
            <v>22099.999999998545</v>
          </cell>
          <cell r="G25">
            <v>2.3678124925800477</v>
          </cell>
          <cell r="H25">
            <v>88000</v>
          </cell>
          <cell r="I25">
            <v>1.0478398437742651</v>
          </cell>
          <cell r="J25">
            <v>45119.999999999891</v>
          </cell>
          <cell r="K25">
            <v>0.89783198949111109</v>
          </cell>
          <cell r="X25">
            <v>160798.9999999977</v>
          </cell>
          <cell r="Y25">
            <v>1.0847430044453552</v>
          </cell>
        </row>
        <row r="26">
          <cell r="D26">
            <v>2533.9999999992724</v>
          </cell>
          <cell r="E26">
            <v>0.54298976074176575</v>
          </cell>
          <cell r="F26">
            <v>12399.999999999636</v>
          </cell>
          <cell r="G26">
            <v>1.3285463759273148</v>
          </cell>
          <cell r="H26">
            <v>74390.00000000032</v>
          </cell>
          <cell r="I26">
            <v>0.88578188611781716</v>
          </cell>
          <cell r="J26">
            <v>46759.999999999309</v>
          </cell>
          <cell r="K26">
            <v>0.93046595364813467</v>
          </cell>
          <cell r="X26">
            <v>136083.99999999854</v>
          </cell>
          <cell r="Y26">
            <v>0.91801669797039953</v>
          </cell>
        </row>
        <row r="27">
          <cell r="D27">
            <v>0</v>
          </cell>
          <cell r="E27">
            <v>0</v>
          </cell>
          <cell r="F27">
            <v>55900.000000001455</v>
          </cell>
          <cell r="G27">
            <v>5.9891727753500819</v>
          </cell>
          <cell r="H27">
            <v>69444.763683378827</v>
          </cell>
          <cell r="I27">
            <v>0.82689761737423206</v>
          </cell>
          <cell r="J27">
            <v>41555.23631662118</v>
          </cell>
          <cell r="K27">
            <v>0.82689761737423217</v>
          </cell>
          <cell r="X27">
            <v>166900.00000000146</v>
          </cell>
          <cell r="Y27">
            <v>1.1259000829727421</v>
          </cell>
        </row>
        <row r="29">
          <cell r="E29">
            <v>33.524793388423738</v>
          </cell>
          <cell r="G29">
            <v>186.77685950413149</v>
          </cell>
          <cell r="I29">
            <v>53.234159284358014</v>
          </cell>
          <cell r="K29">
            <v>51.203083774604899</v>
          </cell>
        </row>
        <row r="30">
          <cell r="D30">
            <v>0</v>
          </cell>
          <cell r="E30" t="str">
            <v>0</v>
          </cell>
          <cell r="F30">
            <v>0</v>
          </cell>
          <cell r="G30" t="str">
            <v>0</v>
          </cell>
          <cell r="H30">
            <v>102469.99999999935</v>
          </cell>
          <cell r="I30">
            <v>1.1258718136939272</v>
          </cell>
          <cell r="L30">
            <v>38799.999999999272</v>
          </cell>
          <cell r="M30">
            <v>1.5798950544255761</v>
          </cell>
          <cell r="X30">
            <v>141269.9999999986</v>
          </cell>
          <cell r="Y30">
            <v>1.2223495348463758</v>
          </cell>
        </row>
        <row r="31">
          <cell r="D31">
            <v>0</v>
          </cell>
          <cell r="E31" t="str">
            <v>0</v>
          </cell>
          <cell r="F31">
            <v>8.0035533756017685E-10</v>
          </cell>
          <cell r="G31" t="str">
            <v>0</v>
          </cell>
          <cell r="H31">
            <v>513630.00000000873</v>
          </cell>
          <cell r="I31">
            <v>5.6434228522262648</v>
          </cell>
          <cell r="L31">
            <v>87670.000000000073</v>
          </cell>
          <cell r="M31">
            <v>3.5698298819972414</v>
          </cell>
          <cell r="X31">
            <v>601300.00000000966</v>
          </cell>
          <cell r="Y31">
            <v>5.2027944737251008</v>
          </cell>
        </row>
        <row r="32">
          <cell r="D32">
            <v>0</v>
          </cell>
          <cell r="E32" t="str">
            <v>0</v>
          </cell>
          <cell r="F32">
            <v>0</v>
          </cell>
          <cell r="G32" t="str">
            <v>0</v>
          </cell>
          <cell r="H32">
            <v>858399.99999999779</v>
          </cell>
          <cell r="I32">
            <v>9.4315249817007007</v>
          </cell>
          <cell r="L32">
            <v>174529.99999999884</v>
          </cell>
          <cell r="M32">
            <v>7.1066774187860595</v>
          </cell>
          <cell r="X32">
            <v>1032929.9999999966</v>
          </cell>
          <cell r="Y32">
            <v>8.9375062294108822</v>
          </cell>
        </row>
        <row r="33">
          <cell r="D33">
            <v>3000</v>
          </cell>
          <cell r="E33" t="str">
            <v>0</v>
          </cell>
          <cell r="F33">
            <v>0</v>
          </cell>
          <cell r="G33" t="str">
            <v>0</v>
          </cell>
          <cell r="H33">
            <v>169000</v>
          </cell>
          <cell r="I33">
            <v>1.8568589490999796</v>
          </cell>
          <cell r="L33">
            <v>276749.99999999272</v>
          </cell>
          <cell r="M33">
            <v>11.268967946192651</v>
          </cell>
          <cell r="X33">
            <v>448749.99999999272</v>
          </cell>
          <cell r="Y33">
            <v>3.882843871751311</v>
          </cell>
        </row>
        <row r="34">
          <cell r="D34">
            <v>20999.999999995634</v>
          </cell>
          <cell r="E34" t="str">
            <v>0</v>
          </cell>
          <cell r="F34">
            <v>-4.3655745685100555E-10</v>
          </cell>
          <cell r="G34" t="str">
            <v>0</v>
          </cell>
          <cell r="H34">
            <v>306000</v>
          </cell>
          <cell r="I34">
            <v>3.3621233042875374</v>
          </cell>
          <cell r="L34">
            <v>179740.00000000524</v>
          </cell>
          <cell r="M34">
            <v>7.3188231206821301</v>
          </cell>
          <cell r="X34">
            <v>506740.00000000047</v>
          </cell>
          <cell r="Y34">
            <v>4.3846068046156947</v>
          </cell>
        </row>
        <row r="35">
          <cell r="E35" t="str">
            <v>0</v>
          </cell>
          <cell r="G35" t="str">
            <v>0</v>
          </cell>
          <cell r="H35">
            <v>177360.00000000058</v>
          </cell>
          <cell r="I35">
            <v>1.9487130367596066</v>
          </cell>
          <cell r="L35">
            <v>56340.000000000146</v>
          </cell>
          <cell r="M35">
            <v>2.2941053444932695</v>
          </cell>
          <cell r="X35">
            <v>233700.00000000073</v>
          </cell>
          <cell r="Y35">
            <v>2.0221072152162649</v>
          </cell>
        </row>
        <row r="36">
          <cell r="E36" t="str">
            <v>0</v>
          </cell>
          <cell r="G36" t="str">
            <v>0</v>
          </cell>
          <cell r="H36">
            <v>116303.04399524376</v>
          </cell>
          <cell r="I36">
            <v>1.277860047633947</v>
          </cell>
          <cell r="L36">
            <v>19356.956004756241</v>
          </cell>
          <cell r="M36">
            <v>0.78819482115073236</v>
          </cell>
          <cell r="X36">
            <v>135660</v>
          </cell>
          <cell r="Y36">
            <v>1.1738085785889503</v>
          </cell>
        </row>
        <row r="37">
          <cell r="E37" t="str">
            <v>0</v>
          </cell>
          <cell r="G37" t="str">
            <v>0</v>
          </cell>
          <cell r="I37">
            <v>0</v>
          </cell>
          <cell r="M37">
            <v>0</v>
          </cell>
          <cell r="X37">
            <v>0</v>
          </cell>
          <cell r="Y37">
            <v>0</v>
          </cell>
        </row>
        <row r="38">
          <cell r="D38">
            <v>32299.999999998545</v>
          </cell>
          <cell r="E38" t="str">
            <v>0</v>
          </cell>
          <cell r="F38">
            <v>11660.000000003492</v>
          </cell>
          <cell r="G38" t="str">
            <v>0</v>
          </cell>
          <cell r="H38">
            <v>641110.0000000007</v>
          </cell>
          <cell r="I38">
            <v>7.0440878157247893</v>
          </cell>
          <cell r="L38">
            <v>207810.00000000061</v>
          </cell>
          <cell r="M38">
            <v>8.4618038984584043</v>
          </cell>
          <cell r="X38">
            <v>892880.00000000338</v>
          </cell>
          <cell r="Y38">
            <v>7.7257128383495939</v>
          </cell>
        </row>
        <row r="39">
          <cell r="D39">
            <v>0</v>
          </cell>
          <cell r="E39" t="str">
            <v>0</v>
          </cell>
          <cell r="F39">
            <v>0</v>
          </cell>
          <cell r="G39" t="str">
            <v>0</v>
          </cell>
          <cell r="H39">
            <v>259379.99999999738</v>
          </cell>
          <cell r="I39">
            <v>2.8498939302813482</v>
          </cell>
          <cell r="L39">
            <v>97970.000000001164</v>
          </cell>
          <cell r="M39">
            <v>3.9892350124247016</v>
          </cell>
          <cell r="X39">
            <v>357349.99999999854</v>
          </cell>
          <cell r="Y39">
            <v>3.0919983455606639</v>
          </cell>
        </row>
        <row r="42">
          <cell r="G42" t="e">
            <v>#DIV/0!</v>
          </cell>
          <cell r="I42">
            <v>41.04628719897697</v>
          </cell>
          <cell r="M42">
            <v>55.11308216417082</v>
          </cell>
        </row>
        <row r="43">
          <cell r="D43">
            <v>-3.0267983675003052E-9</v>
          </cell>
          <cell r="E43" t="str">
            <v xml:space="preserve"> </v>
          </cell>
          <cell r="F43">
            <v>345080.00000000175</v>
          </cell>
          <cell r="G43">
            <v>27.229543123175393</v>
          </cell>
          <cell r="H43">
            <v>345599.99999999854</v>
          </cell>
          <cell r="I43">
            <v>26.519337016574475</v>
          </cell>
          <cell r="J43">
            <v>306369.99999999534</v>
          </cell>
          <cell r="K43">
            <v>26.738523302495665</v>
          </cell>
          <cell r="L43">
            <v>1109319.9999999998</v>
          </cell>
          <cell r="M43">
            <v>29.317617210211949</v>
          </cell>
          <cell r="N43">
            <v>1146279.9999999916</v>
          </cell>
          <cell r="O43">
            <v>29.105220394068443</v>
          </cell>
          <cell r="P43">
            <v>1144809.9999999977</v>
          </cell>
          <cell r="Q43">
            <v>28.259935818316407</v>
          </cell>
          <cell r="R43">
            <v>250509.99999999476</v>
          </cell>
          <cell r="S43">
            <v>23.221171672227918</v>
          </cell>
          <cell r="T43">
            <v>1522229.999999996</v>
          </cell>
          <cell r="U43">
            <v>29.105736137667229</v>
          </cell>
          <cell r="V43">
            <v>1504369.9999999979</v>
          </cell>
          <cell r="W43">
            <v>27.953434788263891</v>
          </cell>
          <cell r="X43">
            <v>7674569.9999999702</v>
          </cell>
          <cell r="Y43">
            <v>28.236092715231678</v>
          </cell>
        </row>
        <row r="44">
          <cell r="D44">
            <v>0</v>
          </cell>
          <cell r="E44" t="e">
            <v>#DIV/0!</v>
          </cell>
          <cell r="F44">
            <v>52716.63558043298</v>
          </cell>
          <cell r="G44">
            <v>4.1597597712012133</v>
          </cell>
          <cell r="H44">
            <v>54209.98933829421</v>
          </cell>
          <cell r="I44">
            <v>4.1597597712012133</v>
          </cell>
          <cell r="J44">
            <v>47662.527458423501</v>
          </cell>
          <cell r="K44">
            <v>4.1597597712012133</v>
          </cell>
          <cell r="L44">
            <v>120130.94850157479</v>
          </cell>
          <cell r="M44">
            <v>3.1748757466455624</v>
          </cell>
          <cell r="N44">
            <v>125039.30640588884</v>
          </cell>
          <cell r="O44">
            <v>3.1748757466455628</v>
          </cell>
          <cell r="P44">
            <v>128614.21649661174</v>
          </cell>
          <cell r="Q44">
            <v>3.1748757466455628</v>
          </cell>
          <cell r="R44">
            <v>7121.8403545454885</v>
          </cell>
          <cell r="S44">
            <v>0.66016317709913686</v>
          </cell>
          <cell r="T44">
            <v>34526.534162284857</v>
          </cell>
          <cell r="U44">
            <v>0.66016317709913686</v>
          </cell>
          <cell r="V44">
            <v>35528.001701944246</v>
          </cell>
          <cell r="W44">
            <v>0.66016317709913686</v>
          </cell>
          <cell r="X44">
            <v>605550.00000000058</v>
          </cell>
          <cell r="Y44">
            <v>2.2279249448123641</v>
          </cell>
        </row>
        <row r="45">
          <cell r="R45">
            <v>112889.99999999942</v>
          </cell>
          <cell r="S45">
            <v>10.464404894326977</v>
          </cell>
          <cell r="X45">
            <v>112889.99999999942</v>
          </cell>
          <cell r="Y45">
            <v>0.41534216335540625</v>
          </cell>
        </row>
        <row r="46">
          <cell r="D46">
            <v>0.37681221138336696</v>
          </cell>
          <cell r="E46" t="e">
            <v>#DIV/0!</v>
          </cell>
          <cell r="F46">
            <v>116960.20905002468</v>
          </cell>
          <cell r="G46">
            <v>9.2290861713899375</v>
          </cell>
          <cell r="H46">
            <v>149165.90492623785</v>
          </cell>
          <cell r="I46">
            <v>11.446125301276693</v>
          </cell>
          <cell r="J46">
            <v>108598.8315995193</v>
          </cell>
          <cell r="K46">
            <v>9.4779919357234501</v>
          </cell>
          <cell r="L46">
            <v>290958.6239044898</v>
          </cell>
          <cell r="M46">
            <v>7.6895878192422904</v>
          </cell>
          <cell r="N46">
            <v>301621.53013295081</v>
          </cell>
          <cell r="O46">
            <v>7.6584788272636297</v>
          </cell>
          <cell r="P46">
            <v>343756.79735588422</v>
          </cell>
          <cell r="Q46">
            <v>8.4857269157216546</v>
          </cell>
          <cell r="R46">
            <v>110460.55786578941</v>
          </cell>
          <cell r="S46">
            <v>10.239206327937469</v>
          </cell>
          <cell r="T46">
            <v>476617.06390918529</v>
          </cell>
          <cell r="U46">
            <v>9.1131369772310755</v>
          </cell>
          <cell r="V46">
            <v>507805.63422912807</v>
          </cell>
          <cell r="W46">
            <v>9.435784867776503</v>
          </cell>
          <cell r="X46">
            <v>2405945.5297854207</v>
          </cell>
          <cell r="Y46">
            <v>8.8518967247440052</v>
          </cell>
        </row>
        <row r="50">
          <cell r="D50">
            <v>329299.99999999988</v>
          </cell>
          <cell r="E50">
            <v>1.1533697748680338</v>
          </cell>
          <cell r="X50">
            <v>329299.99999999988</v>
          </cell>
          <cell r="Y50">
            <v>1.1533697748680338</v>
          </cell>
        </row>
        <row r="53">
          <cell r="D53">
            <v>93330</v>
          </cell>
          <cell r="X53">
            <v>93330</v>
          </cell>
          <cell r="Y53">
            <v>0.52925673153142494</v>
          </cell>
        </row>
        <row r="54">
          <cell r="D54">
            <v>344299.99999999977</v>
          </cell>
          <cell r="X54">
            <v>344299.99999999977</v>
          </cell>
          <cell r="Y54">
            <v>1.9524600092817901</v>
          </cell>
        </row>
        <row r="55">
          <cell r="D55">
            <v>190259.99999999977</v>
          </cell>
          <cell r="X55">
            <v>190259.99999999977</v>
          </cell>
          <cell r="Y55">
            <v>1.0789283803832506</v>
          </cell>
        </row>
        <row r="56">
          <cell r="D56">
            <v>142899.99999999782</v>
          </cell>
          <cell r="X56">
            <v>142899.99999999782</v>
          </cell>
          <cell r="Y56">
            <v>0.81035880141261618</v>
          </cell>
        </row>
        <row r="57">
          <cell r="D57">
            <v>158964.00000000012</v>
          </cell>
          <cell r="X57">
            <v>158964.00000000012</v>
          </cell>
          <cell r="Y57">
            <v>0.901454699144557</v>
          </cell>
        </row>
        <row r="58">
          <cell r="D58">
            <v>929753.99999999744</v>
          </cell>
        </row>
        <row r="59">
          <cell r="D59">
            <v>5800</v>
          </cell>
          <cell r="X59">
            <v>5800</v>
          </cell>
        </row>
        <row r="75">
          <cell r="D75">
            <v>1035723.0197722454</v>
          </cell>
        </row>
      </sheetData>
      <sheetData sheetId="14"/>
      <sheetData sheetId="15">
        <row r="6">
          <cell r="D6">
            <v>5310</v>
          </cell>
          <cell r="E6">
            <v>2.717077843908091E-2</v>
          </cell>
          <cell r="R6">
            <v>5310</v>
          </cell>
          <cell r="S6">
            <v>2.7856801957917506E-2</v>
          </cell>
        </row>
        <row r="7">
          <cell r="D7">
            <v>214000</v>
          </cell>
          <cell r="E7">
            <v>1.095018189446952</v>
          </cell>
          <cell r="R7">
            <v>214000</v>
          </cell>
          <cell r="S7">
            <v>1.1226658416185209</v>
          </cell>
        </row>
        <row r="8">
          <cell r="D8">
            <v>23200</v>
          </cell>
          <cell r="E8">
            <v>0.11871225231387517</v>
          </cell>
          <cell r="R8">
            <v>23200</v>
          </cell>
          <cell r="S8">
            <v>0.1217095678764004</v>
          </cell>
        </row>
        <row r="9">
          <cell r="D9">
            <v>181369.99999999988</v>
          </cell>
          <cell r="E9">
            <v>0.9280535000934278</v>
          </cell>
          <cell r="R9">
            <v>181369.99999999988</v>
          </cell>
          <cell r="S9">
            <v>0.95148553128201396</v>
          </cell>
        </row>
        <row r="13">
          <cell r="D13">
            <v>163300</v>
          </cell>
          <cell r="E13">
            <v>0.85668846699207701</v>
          </cell>
        </row>
        <row r="14">
          <cell r="D14">
            <v>150000</v>
          </cell>
          <cell r="E14">
            <v>0.78691530954569222</v>
          </cell>
        </row>
        <row r="15">
          <cell r="D15">
            <v>12.799999999999955</v>
          </cell>
          <cell r="E15">
            <v>6.7150106414565506E-5</v>
          </cell>
        </row>
        <row r="16">
          <cell r="D16">
            <v>401000</v>
          </cell>
          <cell r="E16">
            <v>2.103686927518817</v>
          </cell>
        </row>
        <row r="18">
          <cell r="E18">
            <v>3.1015275064044117</v>
          </cell>
        </row>
        <row r="19">
          <cell r="H19">
            <v>2956389.9999999991</v>
          </cell>
          <cell r="I19">
            <v>20.357961389158927</v>
          </cell>
          <cell r="J19">
            <v>2815900.0000000014</v>
          </cell>
          <cell r="K19">
            <v>20.609842306310465</v>
          </cell>
          <cell r="R19">
            <v>5772290</v>
          </cell>
          <cell r="S19">
            <v>20.480062880592357</v>
          </cell>
        </row>
        <row r="20">
          <cell r="H20">
            <v>832420.00000000559</v>
          </cell>
          <cell r="I20">
            <v>5.7321172847844135</v>
          </cell>
          <cell r="J20">
            <v>815239.9999999979</v>
          </cell>
          <cell r="K20">
            <v>5.9668197882724856</v>
          </cell>
          <cell r="R20">
            <v>1647660.0000000035</v>
          </cell>
          <cell r="S20">
            <v>5.8458913890045157</v>
          </cell>
        </row>
        <row r="21">
          <cell r="H21">
            <v>32329.999999999927</v>
          </cell>
          <cell r="I21">
            <v>0.22262722161538456</v>
          </cell>
          <cell r="J21">
            <v>42109.999999999673</v>
          </cell>
          <cell r="K21">
            <v>0.30820713076413458</v>
          </cell>
          <cell r="R21">
            <v>74439.999999999593</v>
          </cell>
          <cell r="S21">
            <v>0.26411283577770461</v>
          </cell>
        </row>
        <row r="22">
          <cell r="H22">
            <v>317679.99999999738</v>
          </cell>
          <cell r="I22">
            <v>2.1875724021891418</v>
          </cell>
          <cell r="J22">
            <v>337400.00000000146</v>
          </cell>
          <cell r="K22">
            <v>2.4694629760109299</v>
          </cell>
          <cell r="R22">
            <v>655079.99999999884</v>
          </cell>
          <cell r="S22">
            <v>2.3242213388132646</v>
          </cell>
        </row>
        <row r="24">
          <cell r="I24">
            <v>21.850655178603493</v>
          </cell>
          <cell r="K24">
            <v>22.505443077751842</v>
          </cell>
        </row>
        <row r="25">
          <cell r="D25">
            <v>164791.99999999942</v>
          </cell>
          <cell r="E25">
            <v>0.61381131604654937</v>
          </cell>
          <cell r="F25">
            <v>46839.999999999636</v>
          </cell>
          <cell r="G25">
            <v>0.79794440486423313</v>
          </cell>
          <cell r="R25">
            <v>211631.99999999907</v>
          </cell>
          <cell r="S25">
            <v>0.64684804375850447</v>
          </cell>
        </row>
        <row r="26">
          <cell r="D26">
            <v>243905.00000000058</v>
          </cell>
          <cell r="E26">
            <v>0.90848857371920066</v>
          </cell>
          <cell r="F26">
            <v>93184.000000000815</v>
          </cell>
          <cell r="G26">
            <v>1.5874391849459848</v>
          </cell>
          <cell r="R26">
            <v>337089.0000000014</v>
          </cell>
          <cell r="S26">
            <v>1.0303043028583219</v>
          </cell>
        </row>
        <row r="27">
          <cell r="D27">
            <v>151202.13942180047</v>
          </cell>
          <cell r="E27">
            <v>0.56319229202600563</v>
          </cell>
          <cell r="F27">
            <v>17977.860578197928</v>
          </cell>
          <cell r="G27">
            <v>0.3062624521734077</v>
          </cell>
          <cell r="R27">
            <v>169179.9999999984</v>
          </cell>
          <cell r="S27">
            <v>0.51709454167169067</v>
          </cell>
        </row>
        <row r="29">
          <cell r="E29">
            <v>40.216861041646354</v>
          </cell>
          <cell r="G29">
            <v>51.905998875886461</v>
          </cell>
        </row>
        <row r="30">
          <cell r="F30">
            <v>394860.00000000058</v>
          </cell>
          <cell r="G30">
            <v>1.4302972577556097</v>
          </cell>
          <cell r="R30">
            <v>394860.00000000058</v>
          </cell>
          <cell r="S30">
            <v>1.4302972577556097</v>
          </cell>
        </row>
        <row r="31">
          <cell r="F31">
            <v>1624730.0000000014</v>
          </cell>
          <cell r="G31">
            <v>5.8852425254350162</v>
          </cell>
          <cell r="R31">
            <v>1624730.0000000014</v>
          </cell>
          <cell r="S31">
            <v>5.8852425254350154</v>
          </cell>
        </row>
        <row r="32">
          <cell r="F32">
            <v>2281280.0000000014</v>
          </cell>
          <cell r="G32">
            <v>8.2634567395348082</v>
          </cell>
          <cell r="R32">
            <v>2281280.0000000014</v>
          </cell>
          <cell r="S32">
            <v>8.2634567395348082</v>
          </cell>
        </row>
        <row r="33">
          <cell r="F33">
            <v>288960.00000000006</v>
          </cell>
          <cell r="G33">
            <v>1.0466967927900026</v>
          </cell>
          <cell r="R33">
            <v>288960.00000000006</v>
          </cell>
          <cell r="S33">
            <v>1.0466967927900026</v>
          </cell>
        </row>
        <row r="34">
          <cell r="F34">
            <v>1054610.0000000005</v>
          </cell>
          <cell r="G34">
            <v>3.8201027984643723</v>
          </cell>
          <cell r="R34">
            <v>1054610.0000000005</v>
          </cell>
          <cell r="S34">
            <v>3.8201027984643723</v>
          </cell>
        </row>
        <row r="35">
          <cell r="F35">
            <v>300819.99999999971</v>
          </cell>
          <cell r="G35">
            <v>1.0896571470344969</v>
          </cell>
          <cell r="R35">
            <v>300819.99999999971</v>
          </cell>
          <cell r="S35">
            <v>1.0896571470344969</v>
          </cell>
        </row>
        <row r="36">
          <cell r="F36">
            <v>227930.00000000029</v>
          </cell>
          <cell r="G36">
            <v>0.82562846061955142</v>
          </cell>
          <cell r="R36">
            <v>227930.00000000029</v>
          </cell>
          <cell r="S36">
            <v>0.82562846061955142</v>
          </cell>
        </row>
        <row r="37">
          <cell r="R37">
            <v>0</v>
          </cell>
          <cell r="S37">
            <v>0</v>
          </cell>
        </row>
        <row r="38">
          <cell r="F38">
            <v>1119469.9999999953</v>
          </cell>
          <cell r="G38">
            <v>4.0550444996699166</v>
          </cell>
          <cell r="R38">
            <v>1119469.9999999953</v>
          </cell>
          <cell r="S38">
            <v>4.0550444996699166</v>
          </cell>
        </row>
        <row r="39">
          <cell r="F39">
            <v>412720.00000000116</v>
          </cell>
          <cell r="G39">
            <v>1.4949913493919265</v>
          </cell>
          <cell r="R39">
            <v>412720.00000000116</v>
          </cell>
          <cell r="S39">
            <v>1.4949913493919262</v>
          </cell>
        </row>
        <row r="40">
          <cell r="F40">
            <v>687207.39999999537</v>
          </cell>
          <cell r="G40">
            <v>2.4892641942191012</v>
          </cell>
          <cell r="R40">
            <v>687207.39999999537</v>
          </cell>
          <cell r="S40">
            <v>2.4892641942191012</v>
          </cell>
        </row>
        <row r="42">
          <cell r="G42">
            <v>36.126517470115466</v>
          </cell>
        </row>
        <row r="43">
          <cell r="L43">
            <v>1257.0000000023283</v>
          </cell>
          <cell r="M43">
            <v>14.964285714313432</v>
          </cell>
          <cell r="N43">
            <v>598520</v>
          </cell>
          <cell r="O43">
            <v>18.33363964957422</v>
          </cell>
          <cell r="P43">
            <v>820789.99999999907</v>
          </cell>
          <cell r="Q43">
            <v>19.468915296852369</v>
          </cell>
          <cell r="R43">
            <v>1420567.0000000014</v>
          </cell>
          <cell r="S43">
            <v>18.96896740509289</v>
          </cell>
        </row>
        <row r="45">
          <cell r="L45">
            <v>1477.9999999965075</v>
          </cell>
          <cell r="M45">
            <v>17.595238095196517</v>
          </cell>
          <cell r="N45">
            <v>362959.99999999913</v>
          </cell>
          <cell r="O45">
            <v>11.118054279237858</v>
          </cell>
          <cell r="P45">
            <v>500079.99999999447</v>
          </cell>
          <cell r="Q45">
            <v>11.861761426978687</v>
          </cell>
          <cell r="R45">
            <v>864517.9999999901</v>
          </cell>
          <cell r="S45">
            <v>11.543991774492785</v>
          </cell>
        </row>
        <row r="46">
          <cell r="L46">
            <v>19.703117193941978</v>
          </cell>
          <cell r="M46">
            <v>0.23456091897549974</v>
          </cell>
          <cell r="N46">
            <v>129176.64184994483</v>
          </cell>
          <cell r="O46">
            <v>3.9568903341893291</v>
          </cell>
          <cell r="P46">
            <v>132564.65503286174</v>
          </cell>
          <cell r="Q46">
            <v>3.1443975196959544</v>
          </cell>
          <cell r="R46">
            <v>261761.00000000052</v>
          </cell>
          <cell r="S46">
            <v>3.4953197398816984</v>
          </cell>
        </row>
        <row r="47">
          <cell r="L47">
            <v>17.310065723441141</v>
          </cell>
          <cell r="M47">
            <v>0.20607221099334691</v>
          </cell>
          <cell r="N47">
            <v>106608.15336549286</v>
          </cell>
          <cell r="O47">
            <v>3.2655808786832341</v>
          </cell>
          <cell r="P47">
            <v>147194.13656878204</v>
          </cell>
          <cell r="Q47">
            <v>3.4914048380839686</v>
          </cell>
          <cell r="R47">
            <v>253819.59999999835</v>
          </cell>
          <cell r="S47">
            <v>3.3892774639800018</v>
          </cell>
        </row>
        <row r="50">
          <cell r="D50">
            <v>44000</v>
          </cell>
          <cell r="E50">
            <v>0.47152882182415423</v>
          </cell>
        </row>
        <row r="51">
          <cell r="D51">
            <v>93313.49</v>
          </cell>
        </row>
        <row r="53">
          <cell r="D53">
            <v>148532</v>
          </cell>
          <cell r="R53">
            <v>148532</v>
          </cell>
          <cell r="S53">
            <v>0.73293189904857969</v>
          </cell>
        </row>
        <row r="54">
          <cell r="D54">
            <v>248910.00000000003</v>
          </cell>
          <cell r="R54">
            <v>248910.00000000003</v>
          </cell>
          <cell r="S54">
            <v>1.2282476435527832</v>
          </cell>
        </row>
        <row r="55">
          <cell r="D55">
            <v>4739.9999999997817</v>
          </cell>
          <cell r="R55">
            <v>4739.9999999997817</v>
          </cell>
          <cell r="S55">
            <v>2.338955377622403E-2</v>
          </cell>
        </row>
        <row r="56">
          <cell r="D56">
            <v>15634.999999999991</v>
          </cell>
          <cell r="R56">
            <v>15634.999999999991</v>
          </cell>
          <cell r="S56">
            <v>7.7150985926430243E-2</v>
          </cell>
        </row>
        <row r="57">
          <cell r="D57">
            <v>100000</v>
          </cell>
          <cell r="R57">
            <v>100000</v>
          </cell>
          <cell r="S57">
            <v>0.49345050160812465</v>
          </cell>
        </row>
        <row r="60">
          <cell r="D60">
            <v>100900</v>
          </cell>
          <cell r="R60">
            <v>100900</v>
          </cell>
        </row>
        <row r="62">
          <cell r="D62">
            <v>72000</v>
          </cell>
          <cell r="R62">
            <v>72000</v>
          </cell>
        </row>
        <row r="75">
          <cell r="D75">
            <v>227905.98022775457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partners.kepco.co.kr/attache/updown/module/fileDownload.jsp?fileNm=2026/GM/COM/CT20/EB1861CE-7442-0F0A-C5C4-A909922F1855.pdf&amp;fileOrg=%EC%9A%94%EA%B8%88%EC%97%85%EB%AC%B4%EC%B2%98%EB%A6%AC%EC%A7%80%EC%B9%A8(%EC%A0%9C11%ED%98%B82026-01-21_%EC%8B%9C%ED%96%89)_ESS%EC%9A%94%EA%B8%88%EC%A0%9C_%EB%B0%9C%EC%B7%8C.pdf&amp;_StartOffset=0&amp;_EndOffset=264552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7E0B-E649-40E6-AE86-F538B2D2EE9F}">
  <dimension ref="A1:AJ75"/>
  <sheetViews>
    <sheetView zoomScale="70" zoomScaleNormal="70" workbookViewId="0">
      <selection sqref="A1:AJ75"/>
    </sheetView>
  </sheetViews>
  <sheetFormatPr defaultRowHeight="16.5"/>
  <sheetData>
    <row r="1" spans="1: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0.25">
      <c r="A2" s="2">
        <f>'[1]7.실적DATA'!B1</f>
        <v>7</v>
      </c>
      <c r="B2" s="2"/>
      <c r="C2" s="3" t="s">
        <v>1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4"/>
      <c r="AE2" s="6"/>
      <c r="AF2" s="7"/>
      <c r="AG2" s="4"/>
      <c r="AH2" s="6"/>
      <c r="AI2" s="4"/>
      <c r="AJ2" s="6"/>
    </row>
    <row r="3" spans="1:36" ht="20.25">
      <c r="A3" s="8"/>
      <c r="B3" s="8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4"/>
      <c r="AE3" s="6"/>
      <c r="AF3" s="7"/>
      <c r="AG3" s="4"/>
      <c r="AH3" s="6"/>
      <c r="AI3" s="4"/>
      <c r="AJ3" s="6"/>
    </row>
    <row r="4" spans="1:36">
      <c r="A4" s="9"/>
      <c r="B4" s="10"/>
      <c r="C4" s="6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4"/>
      <c r="AE4" s="11"/>
      <c r="AF4" s="12"/>
      <c r="AG4" s="4"/>
      <c r="AH4" s="11"/>
      <c r="AI4" s="4"/>
      <c r="AJ4" s="13"/>
    </row>
    <row r="5" spans="1:36">
      <c r="A5" s="9"/>
      <c r="B5" s="14"/>
      <c r="C5" s="15" t="s">
        <v>2</v>
      </c>
      <c r="D5" s="16" t="s">
        <v>3</v>
      </c>
      <c r="E5" s="17"/>
      <c r="F5" s="16" t="s">
        <v>4</v>
      </c>
      <c r="G5" s="17"/>
      <c r="H5" s="16" t="s">
        <v>5</v>
      </c>
      <c r="I5" s="17"/>
      <c r="J5" s="16" t="s">
        <v>6</v>
      </c>
      <c r="K5" s="17"/>
      <c r="L5" s="16" t="s">
        <v>7</v>
      </c>
      <c r="M5" s="17"/>
      <c r="N5" s="16" t="s">
        <v>8</v>
      </c>
      <c r="O5" s="17"/>
      <c r="P5" s="18" t="s">
        <v>9</v>
      </c>
      <c r="Q5" s="18"/>
      <c r="R5" s="18" t="s">
        <v>10</v>
      </c>
      <c r="S5" s="18"/>
      <c r="T5" s="18" t="s">
        <v>11</v>
      </c>
      <c r="U5" s="18"/>
      <c r="V5" s="18" t="s">
        <v>12</v>
      </c>
      <c r="W5" s="18"/>
      <c r="X5" s="18" t="s">
        <v>13</v>
      </c>
      <c r="Y5" s="18"/>
      <c r="Z5" s="18" t="s">
        <v>14</v>
      </c>
      <c r="AA5" s="18"/>
      <c r="AB5" s="18" t="s">
        <v>15</v>
      </c>
      <c r="AC5" s="19"/>
      <c r="AD5" s="20" t="s">
        <v>16</v>
      </c>
      <c r="AE5" s="19"/>
      <c r="AF5" s="7"/>
      <c r="AG5" s="21" t="s">
        <v>17</v>
      </c>
      <c r="AH5" s="18"/>
      <c r="AI5" s="16" t="s">
        <v>18</v>
      </c>
      <c r="AJ5" s="19"/>
    </row>
    <row r="6" spans="1:36">
      <c r="A6" s="22"/>
      <c r="B6" s="23" t="s">
        <v>19</v>
      </c>
      <c r="C6" s="24"/>
      <c r="D6" s="25" t="s">
        <v>20</v>
      </c>
      <c r="E6" s="26" t="s">
        <v>21</v>
      </c>
      <c r="F6" s="25" t="s">
        <v>20</v>
      </c>
      <c r="G6" s="26" t="s">
        <v>21</v>
      </c>
      <c r="H6" s="25" t="s">
        <v>20</v>
      </c>
      <c r="I6" s="26" t="s">
        <v>21</v>
      </c>
      <c r="J6" s="25" t="s">
        <v>20</v>
      </c>
      <c r="K6" s="26" t="s">
        <v>21</v>
      </c>
      <c r="L6" s="25" t="s">
        <v>20</v>
      </c>
      <c r="M6" s="26" t="s">
        <v>21</v>
      </c>
      <c r="N6" s="25" t="s">
        <v>20</v>
      </c>
      <c r="O6" s="26" t="s">
        <v>21</v>
      </c>
      <c r="P6" s="25" t="s">
        <v>20</v>
      </c>
      <c r="Q6" s="26" t="s">
        <v>21</v>
      </c>
      <c r="R6" s="25" t="s">
        <v>20</v>
      </c>
      <c r="S6" s="26" t="s">
        <v>21</v>
      </c>
      <c r="T6" s="25" t="s">
        <v>20</v>
      </c>
      <c r="U6" s="26" t="s">
        <v>21</v>
      </c>
      <c r="V6" s="25" t="s">
        <v>20</v>
      </c>
      <c r="W6" s="26" t="s">
        <v>21</v>
      </c>
      <c r="X6" s="25" t="s">
        <v>20</v>
      </c>
      <c r="Y6" s="26" t="s">
        <v>21</v>
      </c>
      <c r="Z6" s="25" t="s">
        <v>20</v>
      </c>
      <c r="AA6" s="26" t="s">
        <v>21</v>
      </c>
      <c r="AB6" s="25" t="s">
        <v>20</v>
      </c>
      <c r="AC6" s="26" t="s">
        <v>21</v>
      </c>
      <c r="AD6" s="25" t="s">
        <v>20</v>
      </c>
      <c r="AE6" s="26" t="s">
        <v>22</v>
      </c>
      <c r="AF6" s="22"/>
      <c r="AG6" s="25" t="s">
        <v>20</v>
      </c>
      <c r="AH6" s="26" t="s">
        <v>21</v>
      </c>
      <c r="AI6" s="25" t="s">
        <v>20</v>
      </c>
      <c r="AJ6" s="26" t="s">
        <v>21</v>
      </c>
    </row>
    <row r="7" spans="1:36">
      <c r="A7" s="9"/>
      <c r="B7" s="27"/>
      <c r="C7" s="28" t="s">
        <v>23</v>
      </c>
      <c r="D7" s="20" t="s">
        <v>24</v>
      </c>
      <c r="E7" s="29">
        <f>'[1]7.실적DATA'!F21</f>
        <v>1.2082297662764558</v>
      </c>
      <c r="F7" s="30" t="s">
        <v>25</v>
      </c>
      <c r="G7" s="31">
        <f>'[1]7.실적DATA'!E21</f>
        <v>1.3043214523679725</v>
      </c>
      <c r="H7" s="18" t="s">
        <v>26</v>
      </c>
      <c r="I7" s="31">
        <f>'[1]7.실적DATA'!G21</f>
        <v>5.1856164995874136E-2</v>
      </c>
      <c r="J7" s="18" t="s">
        <v>27</v>
      </c>
      <c r="K7" s="31">
        <f>'[1]7.실적DATA'!D21</f>
        <v>0.84149771120514349</v>
      </c>
      <c r="L7" s="32"/>
      <c r="M7" s="32"/>
      <c r="N7" s="32"/>
      <c r="O7" s="32"/>
      <c r="P7" s="33"/>
      <c r="Q7" s="18"/>
      <c r="R7" s="33"/>
      <c r="S7" s="18"/>
      <c r="T7" s="33"/>
      <c r="U7" s="18"/>
      <c r="V7" s="33"/>
      <c r="W7" s="18"/>
      <c r="X7" s="34"/>
      <c r="Y7" s="34"/>
      <c r="Z7" s="34"/>
      <c r="AA7" s="34"/>
      <c r="AB7" s="34"/>
      <c r="AC7" s="35"/>
      <c r="AD7" s="36"/>
      <c r="AE7" s="35"/>
      <c r="AF7" s="7"/>
      <c r="AG7" s="36"/>
      <c r="AH7" s="34"/>
      <c r="AI7" s="37"/>
      <c r="AJ7" s="35"/>
    </row>
    <row r="8" spans="1:36">
      <c r="A8" s="9"/>
      <c r="B8" s="38" t="s">
        <v>28</v>
      </c>
      <c r="C8" s="28" t="s">
        <v>29</v>
      </c>
      <c r="D8" s="39">
        <f>'[1]12.2공장보도표'!D6</f>
        <v>5310</v>
      </c>
      <c r="E8" s="40">
        <f>'[1]12.2공장보도표'!E6</f>
        <v>2.717077843908091E-2</v>
      </c>
      <c r="F8" s="41" t="s">
        <v>30</v>
      </c>
      <c r="G8" s="42" t="s">
        <v>31</v>
      </c>
      <c r="H8" s="43">
        <f>'[1]12.2공장보도표'!$D$13</f>
        <v>163300</v>
      </c>
      <c r="I8" s="40">
        <f>'[1]12.2공장보도표'!$E$13</f>
        <v>0.85668846699207701</v>
      </c>
      <c r="J8" s="40"/>
      <c r="K8" s="40"/>
      <c r="L8" s="40"/>
      <c r="M8" s="40"/>
      <c r="N8" s="40"/>
      <c r="O8" s="40"/>
      <c r="P8" s="44"/>
      <c r="Q8" s="45"/>
      <c r="R8" s="44"/>
      <c r="S8" s="45"/>
      <c r="T8" s="45"/>
      <c r="U8" s="45"/>
      <c r="V8" s="45"/>
      <c r="W8" s="45"/>
      <c r="X8" s="46"/>
      <c r="Y8" s="46"/>
      <c r="Z8" s="46"/>
      <c r="AA8" s="46"/>
      <c r="AB8" s="46"/>
      <c r="AC8" s="47"/>
      <c r="AD8" s="48">
        <f t="shared" ref="AD8:AD14" si="0">AB8+Z8+X8+V8+T8+R8+P8+N8+L8+J8+H8+D8</f>
        <v>168610</v>
      </c>
      <c r="AE8" s="49">
        <f>(AD8/$AD$14)*$E$7</f>
        <v>0.43675886434738648</v>
      </c>
      <c r="AF8" s="50"/>
      <c r="AG8" s="51"/>
      <c r="AH8" s="52">
        <f>'[1]10.1공장보도표'!$Y$6</f>
        <v>0</v>
      </c>
      <c r="AI8" s="53">
        <f>'[1]12.2공장보도표'!$D$13+'[1]12.2공장보도표'!R6</f>
        <v>168610</v>
      </c>
      <c r="AJ8" s="54">
        <f>'[1]12.2공장보도표'!$E$13+'[1]12.2공장보도표'!S6</f>
        <v>0.88454526894999452</v>
      </c>
    </row>
    <row r="9" spans="1:36">
      <c r="A9" s="9"/>
      <c r="B9" s="55"/>
      <c r="C9" s="28" t="s">
        <v>32</v>
      </c>
      <c r="D9" s="39">
        <f>'[1]12.2공장보도표'!D7</f>
        <v>214000</v>
      </c>
      <c r="E9" s="40">
        <f>'[1]12.2공장보도표'!E7</f>
        <v>1.095018189446952</v>
      </c>
      <c r="F9" s="56"/>
      <c r="G9" s="42" t="s">
        <v>33</v>
      </c>
      <c r="H9" s="43">
        <f>'[1]12.2공장보도표'!$D$14</f>
        <v>150000</v>
      </c>
      <c r="I9" s="40">
        <f>'[1]12.2공장보도표'!$E$14</f>
        <v>0.78691530954569222</v>
      </c>
      <c r="J9" s="40"/>
      <c r="K9" s="40"/>
      <c r="L9" s="40"/>
      <c r="M9" s="40"/>
      <c r="N9" s="40"/>
      <c r="O9" s="40"/>
      <c r="P9" s="44"/>
      <c r="Q9" s="45"/>
      <c r="R9" s="44"/>
      <c r="S9" s="45"/>
      <c r="T9" s="45"/>
      <c r="U9" s="45"/>
      <c r="V9" s="45"/>
      <c r="W9" s="45"/>
      <c r="X9" s="46"/>
      <c r="Y9" s="46"/>
      <c r="Z9" s="46"/>
      <c r="AA9" s="46"/>
      <c r="AB9" s="46"/>
      <c r="AC9" s="57"/>
      <c r="AD9" s="58">
        <f t="shared" si="0"/>
        <v>364000</v>
      </c>
      <c r="AE9" s="49">
        <f>(AD9/$AD$14)*$E$7</f>
        <v>0.94288729388795844</v>
      </c>
      <c r="AF9" s="50"/>
      <c r="AG9" s="51"/>
      <c r="AH9" s="52">
        <f>'[1]10.1공장보도표'!$Y$7</f>
        <v>0</v>
      </c>
      <c r="AI9" s="53">
        <f>'[1]12.2공장보도표'!$D$14+'[1]12.2공장보도표'!R7</f>
        <v>364000</v>
      </c>
      <c r="AJ9" s="54">
        <f>'[1]12.2공장보도표'!$E$14+'[1]12.2공장보도표'!S7</f>
        <v>1.9095811511642131</v>
      </c>
    </row>
    <row r="10" spans="1:36">
      <c r="A10" s="9"/>
      <c r="B10" s="55"/>
      <c r="C10" s="28" t="s">
        <v>34</v>
      </c>
      <c r="D10" s="39">
        <f>'[1]12.2공장보도표'!D8</f>
        <v>23200</v>
      </c>
      <c r="E10" s="40">
        <f>'[1]12.2공장보도표'!E8</f>
        <v>0.11871225231387517</v>
      </c>
      <c r="F10" s="56"/>
      <c r="G10" s="42" t="s">
        <v>35</v>
      </c>
      <c r="H10" s="43">
        <f>'[1]12.2공장보도표'!$D$15</f>
        <v>12.799999999999955</v>
      </c>
      <c r="I10" s="40">
        <f>'[1]12.2공장보도표'!$E$15</f>
        <v>6.7150106414565506E-5</v>
      </c>
      <c r="J10" s="40"/>
      <c r="K10" s="40"/>
      <c r="L10" s="40"/>
      <c r="M10" s="40"/>
      <c r="N10" s="40"/>
      <c r="O10" s="40"/>
      <c r="P10" s="44"/>
      <c r="Q10" s="45"/>
      <c r="R10" s="44"/>
      <c r="S10" s="45"/>
      <c r="T10" s="45"/>
      <c r="U10" s="45"/>
      <c r="V10" s="45"/>
      <c r="W10" s="45"/>
      <c r="X10" s="46"/>
      <c r="Y10" s="46"/>
      <c r="Z10" s="46"/>
      <c r="AA10" s="46"/>
      <c r="AB10" s="46"/>
      <c r="AC10" s="57"/>
      <c r="AD10" s="48">
        <f t="shared" si="0"/>
        <v>23212.799999999999</v>
      </c>
      <c r="AE10" s="49">
        <f>(AD10/$AD$14)*$E$7</f>
        <v>6.0129269713083522E-2</v>
      </c>
      <c r="AF10" s="50"/>
      <c r="AG10" s="51"/>
      <c r="AH10" s="52">
        <f>'[1]10.1공장보도표'!$Y$8</f>
        <v>0</v>
      </c>
      <c r="AI10" s="53">
        <f>'[1]12.2공장보도표'!$D$15+'[1]12.2공장보도표'!R8</f>
        <v>23212.799999999999</v>
      </c>
      <c r="AJ10" s="54">
        <f>'[1]12.2공장보도표'!$E$15+'[1]12.2공장보도표'!S8</f>
        <v>0.12177671798281496</v>
      </c>
    </row>
    <row r="11" spans="1:36">
      <c r="A11" s="9"/>
      <c r="B11" s="55"/>
      <c r="C11" s="28" t="s">
        <v>36</v>
      </c>
      <c r="D11" s="59">
        <f>'[1]12.2공장보도표'!D9</f>
        <v>181369.99999999988</v>
      </c>
      <c r="E11" s="40">
        <f>'[1]12.2공장보도표'!E9</f>
        <v>0.9280535000934278</v>
      </c>
      <c r="F11" s="56"/>
      <c r="G11" s="42" t="s">
        <v>37</v>
      </c>
      <c r="H11" s="60">
        <f>'[1]12.2공장보도표'!$D$16</f>
        <v>401000</v>
      </c>
      <c r="I11" s="40">
        <f>'[1]12.2공장보도표'!$E$16</f>
        <v>2.103686927518817</v>
      </c>
      <c r="J11" s="40"/>
      <c r="K11" s="40"/>
      <c r="L11" s="40"/>
      <c r="M11" s="40"/>
      <c r="N11" s="40"/>
      <c r="O11" s="40"/>
      <c r="P11" s="44"/>
      <c r="Q11" s="45"/>
      <c r="R11" s="44"/>
      <c r="S11" s="45"/>
      <c r="T11" s="45"/>
      <c r="U11" s="45"/>
      <c r="V11" s="45"/>
      <c r="W11" s="45"/>
      <c r="X11" s="46"/>
      <c r="Y11" s="46"/>
      <c r="Z11" s="46"/>
      <c r="AA11" s="46"/>
      <c r="AB11" s="46"/>
      <c r="AC11" s="57"/>
      <c r="AD11" s="48">
        <f t="shared" si="0"/>
        <v>582369.99999999988</v>
      </c>
      <c r="AE11" s="49">
        <f>(AD11/$AD$14)*$E$7</f>
        <v>1.5085419597294787</v>
      </c>
      <c r="AF11" s="50"/>
      <c r="AG11" s="51"/>
      <c r="AH11" s="52">
        <f>'[1]10.1공장보도표'!$Y$9</f>
        <v>0</v>
      </c>
      <c r="AI11" s="53">
        <f>'[1]12.2공장보도표'!$D$16+'[1]12.2공장보도표'!R9</f>
        <v>582369.99999999988</v>
      </c>
      <c r="AJ11" s="54">
        <f>'[1]12.2공장보도표'!$E$16+'[1]12.2공장보도표'!S9</f>
        <v>3.0551724588008309</v>
      </c>
    </row>
    <row r="12" spans="1:36">
      <c r="A12" s="9"/>
      <c r="B12" s="55"/>
      <c r="C12" s="28" t="s">
        <v>38</v>
      </c>
      <c r="D12" s="59">
        <f>'[1]10.1공장보도표'!$D$10</f>
        <v>44663.999999999069</v>
      </c>
      <c r="E12" s="40">
        <f>'[1]10.1공장보도표'!$E$10</f>
        <v>0.22854155333391424</v>
      </c>
      <c r="F12" s="56"/>
      <c r="G12" s="40"/>
      <c r="H12" s="43"/>
      <c r="I12" s="40"/>
      <c r="J12" s="40"/>
      <c r="K12" s="40"/>
      <c r="L12" s="40"/>
      <c r="M12" s="40"/>
      <c r="N12" s="40"/>
      <c r="O12" s="40"/>
      <c r="P12" s="44"/>
      <c r="Q12" s="45"/>
      <c r="R12" s="44"/>
      <c r="S12" s="45"/>
      <c r="T12" s="45"/>
      <c r="U12" s="45"/>
      <c r="V12" s="45"/>
      <c r="W12" s="45"/>
      <c r="X12" s="46"/>
      <c r="Y12" s="46"/>
      <c r="Z12" s="46"/>
      <c r="AA12" s="46"/>
      <c r="AB12" s="46"/>
      <c r="AC12" s="57"/>
      <c r="AD12" s="48">
        <f t="shared" si="0"/>
        <v>44663.999999999069</v>
      </c>
      <c r="AE12" s="49">
        <f>(AD12/$AD$14)*$E$7</f>
        <v>0.11569537937970027</v>
      </c>
      <c r="AF12" s="50"/>
      <c r="AG12" s="51">
        <f>'[1]10.1공장보도표'!$X$10</f>
        <v>44663.999999999069</v>
      </c>
      <c r="AH12" s="52">
        <f>'[1]10.1공장보도표'!$Y$10</f>
        <v>0.22854155333391424</v>
      </c>
      <c r="AI12" s="53"/>
      <c r="AJ12" s="54"/>
    </row>
    <row r="13" spans="1:36">
      <c r="A13" s="61"/>
      <c r="B13" s="55"/>
      <c r="C13" s="62" t="s">
        <v>39</v>
      </c>
      <c r="D13" s="63">
        <f>SUM(D8:D12)</f>
        <v>468543.99999999895</v>
      </c>
      <c r="E13" s="64">
        <f>SUM(E8:E12)</f>
        <v>2.39749627362725</v>
      </c>
      <c r="F13" s="56"/>
      <c r="G13" s="65"/>
      <c r="H13" s="66">
        <f>SUM(H8:H11)</f>
        <v>714312.8</v>
      </c>
      <c r="I13" s="67">
        <f>SUM(I8:I11)</f>
        <v>3.7473578541630008</v>
      </c>
      <c r="J13" s="65"/>
      <c r="K13" s="65"/>
      <c r="L13" s="65"/>
      <c r="M13" s="65"/>
      <c r="N13" s="65"/>
      <c r="O13" s="65"/>
      <c r="P13" s="68"/>
      <c r="Q13" s="69"/>
      <c r="R13" s="68"/>
      <c r="S13" s="69"/>
      <c r="T13" s="69"/>
      <c r="U13" s="69"/>
      <c r="V13" s="69"/>
      <c r="W13" s="69"/>
      <c r="X13" s="70"/>
      <c r="Y13" s="70"/>
      <c r="Z13" s="70"/>
      <c r="AA13" s="70"/>
      <c r="AB13" s="71"/>
      <c r="AC13" s="72"/>
      <c r="AD13" s="73">
        <f>AB13+Z13+X13+V13+T13+R13+P13+N13+L13+J13+H13+D13</f>
        <v>1182856.7999999989</v>
      </c>
      <c r="AE13" s="74">
        <f>SUM(AE8:AE12)</f>
        <v>3.0640127670576072</v>
      </c>
      <c r="AF13" s="50"/>
      <c r="AG13" s="63">
        <f>SUM(AG12)</f>
        <v>44663.999999999069</v>
      </c>
      <c r="AH13" s="64">
        <f>SUM(AH8:AH12)</f>
        <v>0.22854155333391424</v>
      </c>
      <c r="AI13" s="75">
        <f>SUM(AI8:AI12)</f>
        <v>1138192.7999999998</v>
      </c>
      <c r="AJ13" s="76">
        <f>SUM(AJ8:AJ12)</f>
        <v>5.9710755968978537</v>
      </c>
    </row>
    <row r="14" spans="1:36">
      <c r="A14" s="77"/>
      <c r="B14" s="78"/>
      <c r="C14" s="79" t="s">
        <v>40</v>
      </c>
      <c r="D14" s="80">
        <f>'[1]7.실적DATA'!D17</f>
        <v>236125</v>
      </c>
      <c r="E14" s="81">
        <f>D13/D14</f>
        <v>1.9843049232398049</v>
      </c>
      <c r="F14" s="82"/>
      <c r="G14" s="83"/>
      <c r="H14" s="83">
        <f>'[1]7.실적DATA'!E17</f>
        <v>230310</v>
      </c>
      <c r="I14" s="81">
        <f>'[1]12.2공장보도표'!E18</f>
        <v>3.1015275064044117</v>
      </c>
      <c r="J14" s="83"/>
      <c r="K14" s="83"/>
      <c r="L14" s="83"/>
      <c r="M14" s="83"/>
      <c r="N14" s="83"/>
      <c r="O14" s="83"/>
      <c r="P14" s="84"/>
      <c r="Q14" s="85"/>
      <c r="R14" s="84"/>
      <c r="S14" s="85"/>
      <c r="T14" s="85"/>
      <c r="U14" s="85"/>
      <c r="V14" s="85"/>
      <c r="W14" s="85"/>
      <c r="X14" s="86"/>
      <c r="Y14" s="86"/>
      <c r="Z14" s="86"/>
      <c r="AA14" s="86"/>
      <c r="AB14" s="86"/>
      <c r="AC14" s="87"/>
      <c r="AD14" s="88">
        <f t="shared" si="0"/>
        <v>466435</v>
      </c>
      <c r="AE14" s="89">
        <f>AD13/AD14</f>
        <v>2.5359520619164488</v>
      </c>
      <c r="AF14" s="50"/>
      <c r="AG14" s="80">
        <f>'[1]7.실적DATA'!D17</f>
        <v>236125</v>
      </c>
      <c r="AH14" s="90">
        <f>AG13/AG14</f>
        <v>0.18915404976177477</v>
      </c>
      <c r="AI14" s="91">
        <f>'[1]7.실적DATA'!E17</f>
        <v>230310</v>
      </c>
      <c r="AJ14" s="92">
        <f>AI13/AI14</f>
        <v>4.9420033867396107</v>
      </c>
    </row>
    <row r="15" spans="1:36">
      <c r="A15" s="9"/>
      <c r="B15" s="93"/>
      <c r="C15" s="28" t="s">
        <v>41</v>
      </c>
      <c r="D15" s="48">
        <f>'[1]10.1공장보도표'!$D$19</f>
        <v>1.4551915228366852E-10</v>
      </c>
      <c r="E15" s="94" t="str">
        <f>'[1]10.1공장보도표'!$E$19</f>
        <v>0</v>
      </c>
      <c r="F15" s="43">
        <f>'[1]10.1공장보도표'!$F$19</f>
        <v>0</v>
      </c>
      <c r="G15" s="94" t="str">
        <f>'[1]10.1공장보도표'!$G$19</f>
        <v>0</v>
      </c>
      <c r="H15" s="43">
        <f>'[1]10.1공장보도표'!$H$19</f>
        <v>763400.00000002328</v>
      </c>
      <c r="I15" s="94">
        <f>'[1]10.1공장보도표'!$I$19</f>
        <v>16.273375010014227</v>
      </c>
      <c r="J15" s="43">
        <f>'[1]10.1공장보도표'!$J$19</f>
        <v>0</v>
      </c>
      <c r="K15" s="94" t="str">
        <f>'[1]10.1공장보도표'!$K$19</f>
        <v>0</v>
      </c>
      <c r="L15" s="43">
        <f>'[1]10.1공장보도표'!$L$19</f>
        <v>440300.00000000291</v>
      </c>
      <c r="M15" s="94">
        <f>'[1]10.1공장보도표'!$M$19</f>
        <v>10.359002425686286</v>
      </c>
      <c r="N15" s="43">
        <f>'[1]10.1공장보도표'!$N$19</f>
        <v>207439.99999999505</v>
      </c>
      <c r="O15" s="94">
        <f>'[1]10.1공장보도표'!$O$19</f>
        <v>9.3251229391420214</v>
      </c>
      <c r="P15" s="95">
        <f>'[1]12.2공장보도표'!$H$19</f>
        <v>2956389.9999999991</v>
      </c>
      <c r="Q15" s="94">
        <f>'[1]12.2공장보도표'!$I$19</f>
        <v>20.357961389158927</v>
      </c>
      <c r="R15" s="95">
        <f>'[1]12.2공장보도표'!$J$19</f>
        <v>2815900.0000000014</v>
      </c>
      <c r="S15" s="94">
        <f>'[1]12.2공장보도표'!$K$19</f>
        <v>20.609842306310465</v>
      </c>
      <c r="T15" s="94"/>
      <c r="U15" s="94"/>
      <c r="V15" s="94"/>
      <c r="W15" s="94"/>
      <c r="X15" s="46"/>
      <c r="Y15" s="46"/>
      <c r="Z15" s="46"/>
      <c r="AA15" s="46"/>
      <c r="AB15" s="46"/>
      <c r="AC15" s="57"/>
      <c r="AD15" s="48">
        <f t="shared" ref="AD15:AD58" si="1">AB15+Z15+X15+V15+T15+R15+P15+N15+L15+J15+H15+F15+D15</f>
        <v>7183430.0000000214</v>
      </c>
      <c r="AE15" s="47">
        <f>(AD15/$AD$20)*$G$7</f>
        <v>18.254777473894851</v>
      </c>
      <c r="AF15" s="50"/>
      <c r="AG15" s="96">
        <f>'[1]10.1공장보도표'!$X$19</f>
        <v>1411140.0000000214</v>
      </c>
      <c r="AH15" s="97">
        <f>'[1]10.1공장보도표'!$Y$19</f>
        <v>12.637788632971271</v>
      </c>
      <c r="AI15" s="53">
        <f>'[1]12.2공장보도표'!$R$19</f>
        <v>5772290</v>
      </c>
      <c r="AJ15" s="54">
        <f>'[1]12.2공장보도표'!$S$19</f>
        <v>20.480062880592357</v>
      </c>
    </row>
    <row r="16" spans="1:36">
      <c r="A16" s="9"/>
      <c r="B16" s="93"/>
      <c r="C16" s="28" t="s">
        <v>42</v>
      </c>
      <c r="D16" s="48">
        <f>'[1]10.1공장보도표'!$D$20</f>
        <v>0</v>
      </c>
      <c r="E16" s="94" t="str">
        <f>'[1]10.1공장보도표'!$E$20</f>
        <v>0</v>
      </c>
      <c r="F16" s="43">
        <f>'[1]10.1공장보도표'!$F$20</f>
        <v>0</v>
      </c>
      <c r="G16" s="94" t="str">
        <f>'[1]10.1공장보도표'!$G$20</f>
        <v>0</v>
      </c>
      <c r="H16" s="43">
        <f>'[1]10.1공장보도표'!$H$20</f>
        <v>182400.00000000146</v>
      </c>
      <c r="I16" s="94">
        <f>'[1]10.1공장보도표'!$I$20</f>
        <v>3.8882153547635947</v>
      </c>
      <c r="J16" s="43">
        <f>'[1]10.1공장보도표'!$J$20</f>
        <v>0</v>
      </c>
      <c r="K16" s="94" t="str">
        <f>'[1]10.1공장보도표'!$K$20</f>
        <v>0</v>
      </c>
      <c r="L16" s="43">
        <f>'[1]10.1공장보도표'!$L$20</f>
        <v>270319.99999999971</v>
      </c>
      <c r="M16" s="94">
        <f>'[1]10.1공장보도표'!$M$20</f>
        <v>6.3598581324358294</v>
      </c>
      <c r="N16" s="43">
        <f>'[1]10.1공장보도표'!$N$20</f>
        <v>203719.99999999753</v>
      </c>
      <c r="O16" s="94">
        <f>'[1]10.1공장보도표'!$O$20</f>
        <v>9.1578964768705884</v>
      </c>
      <c r="P16" s="95">
        <f>'[1]12.2공장보도표'!$H$20</f>
        <v>832420.00000000559</v>
      </c>
      <c r="Q16" s="94">
        <f>'[1]12.2공장보도표'!$I$20</f>
        <v>5.7321172847844135</v>
      </c>
      <c r="R16" s="95">
        <f>'[1]12.2공장보도표'!$J$20</f>
        <v>815239.9999999979</v>
      </c>
      <c r="S16" s="94">
        <f>'[1]12.2공장보도표'!$K$20</f>
        <v>5.9668197882724856</v>
      </c>
      <c r="T16" s="94"/>
      <c r="U16" s="94"/>
      <c r="V16" s="94"/>
      <c r="W16" s="94"/>
      <c r="X16" s="46"/>
      <c r="Y16" s="46"/>
      <c r="Z16" s="46"/>
      <c r="AA16" s="46"/>
      <c r="AB16" s="46"/>
      <c r="AC16" s="57"/>
      <c r="AD16" s="48">
        <f t="shared" si="1"/>
        <v>2304100.0000000019</v>
      </c>
      <c r="AE16" s="47">
        <f>(AD16/$AD$20)*$G$7</f>
        <v>5.8552575549007972</v>
      </c>
      <c r="AF16" s="50"/>
      <c r="AG16" s="96">
        <f>'[1]10.1공장보도표'!$X$20</f>
        <v>656439.99999999872</v>
      </c>
      <c r="AH16" s="97">
        <f>'[1]10.1공장보도표'!$Y$20</f>
        <v>5.8788993085218468</v>
      </c>
      <c r="AI16" s="53">
        <f>'[1]12.2공장보도표'!$R$20</f>
        <v>1647660.0000000035</v>
      </c>
      <c r="AJ16" s="54">
        <f>'[1]12.2공장보도표'!$S$20</f>
        <v>5.8458913890045157</v>
      </c>
    </row>
    <row r="17" spans="1:36">
      <c r="A17" s="1"/>
      <c r="B17" s="93" t="s">
        <v>43</v>
      </c>
      <c r="C17" s="28" t="s">
        <v>44</v>
      </c>
      <c r="D17" s="48">
        <f>'[1]10.1공장보도표'!$D$21</f>
        <v>0</v>
      </c>
      <c r="E17" s="94">
        <f>'[1]10.1공장보도표'!$E$21</f>
        <v>0</v>
      </c>
      <c r="F17" s="43">
        <f>'[1]10.1공장보도표'!$F$21</f>
        <v>0</v>
      </c>
      <c r="G17" s="94">
        <f>'[1]10.1공장보도표'!$G$21</f>
        <v>0</v>
      </c>
      <c r="H17" s="43">
        <f>'[1]10.1공장보도표'!$H$21</f>
        <v>125100.00000000218</v>
      </c>
      <c r="I17" s="94">
        <f>'[1]10.1공장보도표'!$I$21</f>
        <v>2.6667529653559776</v>
      </c>
      <c r="J17" s="43">
        <f>'[1]10.1공장보도표'!$J$21</f>
        <v>0</v>
      </c>
      <c r="K17" s="94" t="str">
        <f>'[1]10.1공장보도표'!$K$21</f>
        <v>0</v>
      </c>
      <c r="L17" s="43">
        <f>'[1]10.1공장보도표'!$L$21</f>
        <v>0</v>
      </c>
      <c r="M17" s="94">
        <f>'[1]10.1공장보도표'!$M$21</f>
        <v>0</v>
      </c>
      <c r="N17" s="43">
        <f>'[1]10.1공장보도표'!$N$21</f>
        <v>10890</v>
      </c>
      <c r="O17" s="94">
        <f>'[1]10.1공장보도표'!$O$21</f>
        <v>0.48954198229492402</v>
      </c>
      <c r="P17" s="95">
        <f>'[1]12.2공장보도표'!$H$21</f>
        <v>32329.999999999927</v>
      </c>
      <c r="Q17" s="94">
        <f>'[1]12.2공장보도표'!$I$21</f>
        <v>0.22262722161538456</v>
      </c>
      <c r="R17" s="95">
        <f>'[1]12.2공장보도표'!$J$21</f>
        <v>42109.999999999673</v>
      </c>
      <c r="S17" s="94">
        <f>'[1]12.2공장보도표'!$K$21</f>
        <v>0.30820713076413458</v>
      </c>
      <c r="T17" s="94"/>
      <c r="U17" s="94"/>
      <c r="V17" s="94"/>
      <c r="W17" s="94"/>
      <c r="X17" s="46"/>
      <c r="Y17" s="46"/>
      <c r="Z17" s="46"/>
      <c r="AA17" s="46"/>
      <c r="AB17" s="46"/>
      <c r="AC17" s="57"/>
      <c r="AD17" s="48">
        <f t="shared" si="1"/>
        <v>210430.00000000178</v>
      </c>
      <c r="AE17" s="47">
        <f>(AD17/$AD$20)*$G$7</f>
        <v>0.53475189760764907</v>
      </c>
      <c r="AF17" s="50"/>
      <c r="AG17" s="96">
        <f>'[1]10.1공장보도표'!$X$21</f>
        <v>135990.00000000218</v>
      </c>
      <c r="AH17" s="97">
        <f>'[1]10.1공장보도표'!$Y$21</f>
        <v>1.2178897035005487</v>
      </c>
      <c r="AI17" s="53">
        <f>'[1]12.2공장보도표'!$R$21</f>
        <v>74439.999999999593</v>
      </c>
      <c r="AJ17" s="54">
        <f>'[1]12.2공장보도표'!$S$21</f>
        <v>0.26411283577770461</v>
      </c>
    </row>
    <row r="18" spans="1:36">
      <c r="A18" s="1"/>
      <c r="B18" s="93"/>
      <c r="C18" s="28" t="s">
        <v>45</v>
      </c>
      <c r="D18" s="48">
        <f>'[1]10.1공장보도표'!$D$22</f>
        <v>0.42569430587536772</v>
      </c>
      <c r="E18" s="94" t="str">
        <f>'[1]10.1공장보도표'!$E$22</f>
        <v>0</v>
      </c>
      <c r="F18" s="43">
        <f>'[1]10.1공장보도표'!$F$22</f>
        <v>0</v>
      </c>
      <c r="G18" s="94" t="str">
        <f>'[1]10.1공장보도표'!$G$22</f>
        <v>0</v>
      </c>
      <c r="H18" s="43">
        <f>'[1]10.1공장보도표'!$H$22</f>
        <v>198016.20780490743</v>
      </c>
      <c r="I18" s="94">
        <f>'[1]10.1공장보도표'!$I$22</f>
        <v>4.2211055903459087</v>
      </c>
      <c r="J18" s="43">
        <f>'[1]10.1공장보도표'!$J$22</f>
        <v>47160.000000000196</v>
      </c>
      <c r="K18" s="94" t="str">
        <f>'[1]10.1공장보도표'!$K$22</f>
        <v>0</v>
      </c>
      <c r="L18" s="43">
        <f>'[1]10.1공장보도표'!$L$22</f>
        <v>190558.87799676205</v>
      </c>
      <c r="M18" s="94">
        <f>'[1]10.1공장보도표'!$M$22</f>
        <v>4.4833065623540822</v>
      </c>
      <c r="N18" s="43">
        <f>'[1]10.1공장보도표'!$N$22</f>
        <v>32081.709405662576</v>
      </c>
      <c r="O18" s="94">
        <f>'[1]10.1공장보도표'!$O$22</f>
        <v>1.442180313852871</v>
      </c>
      <c r="P18" s="95">
        <f>'[1]12.2공장보도표'!$H$22</f>
        <v>317679.99999999738</v>
      </c>
      <c r="Q18" s="94">
        <f>'[1]12.2공장보도표'!$I$22</f>
        <v>2.1875724021891418</v>
      </c>
      <c r="R18" s="95">
        <f>'[1]12.2공장보도표'!$J$22</f>
        <v>337400.00000000146</v>
      </c>
      <c r="S18" s="94">
        <f>'[1]12.2공장보도표'!$K$22</f>
        <v>2.4694629760109299</v>
      </c>
      <c r="T18" s="94"/>
      <c r="U18" s="94"/>
      <c r="V18" s="94"/>
      <c r="W18" s="94"/>
      <c r="X18" s="46"/>
      <c r="Y18" s="46"/>
      <c r="Z18" s="46"/>
      <c r="AA18" s="46"/>
      <c r="AB18" s="46"/>
      <c r="AC18" s="57"/>
      <c r="AD18" s="48">
        <f>AB18+Z18+X18+V18+T18+R18+P18+N18+L18+J18+H18+F18+D18</f>
        <v>1122897.2209016371</v>
      </c>
      <c r="AE18" s="47">
        <f>(AD18/$AD$20)*$G$7</f>
        <v>2.8535447402723038</v>
      </c>
      <c r="AF18" s="50"/>
      <c r="AG18" s="96">
        <f>'[1]10.1공장보도표'!$X$22</f>
        <v>467817.22090163809</v>
      </c>
      <c r="AH18" s="97">
        <f>'[1]10.1공장보도표'!$Y$22</f>
        <v>4.1896446536976075</v>
      </c>
      <c r="AI18" s="53">
        <f>'[1]12.2공장보도표'!$R$22</f>
        <v>655079.99999999884</v>
      </c>
      <c r="AJ18" s="54">
        <f>'[1]12.2공장보도표'!$S$22</f>
        <v>2.3242213388132646</v>
      </c>
    </row>
    <row r="19" spans="1:36">
      <c r="A19" s="98"/>
      <c r="B19" s="99"/>
      <c r="C19" s="62" t="s">
        <v>39</v>
      </c>
      <c r="D19" s="73">
        <f t="shared" ref="D19:S19" si="2">SUM(D15:D18)</f>
        <v>0.42569430602088687</v>
      </c>
      <c r="E19" s="100">
        <f t="shared" si="2"/>
        <v>0</v>
      </c>
      <c r="F19" s="66">
        <f t="shared" si="2"/>
        <v>0</v>
      </c>
      <c r="G19" s="100">
        <f t="shared" si="2"/>
        <v>0</v>
      </c>
      <c r="H19" s="66">
        <f t="shared" si="2"/>
        <v>1268916.2078049341</v>
      </c>
      <c r="I19" s="100">
        <f t="shared" si="2"/>
        <v>27.049448920479712</v>
      </c>
      <c r="J19" s="66">
        <f t="shared" si="2"/>
        <v>47160.000000000196</v>
      </c>
      <c r="K19" s="100">
        <f t="shared" si="2"/>
        <v>0</v>
      </c>
      <c r="L19" s="66">
        <f t="shared" si="2"/>
        <v>901178.87799676461</v>
      </c>
      <c r="M19" s="67">
        <f>SUM(M15:M18)</f>
        <v>21.202167120476197</v>
      </c>
      <c r="N19" s="66">
        <f t="shared" si="2"/>
        <v>454131.7094056551</v>
      </c>
      <c r="O19" s="100">
        <f>SUM(O15:O18)</f>
        <v>20.414741712160403</v>
      </c>
      <c r="P19" s="71">
        <f t="shared" si="2"/>
        <v>4138820.0000000019</v>
      </c>
      <c r="Q19" s="100">
        <f>SUM(Q15:Q18)</f>
        <v>28.500278297747862</v>
      </c>
      <c r="R19" s="71">
        <f t="shared" si="2"/>
        <v>4010650</v>
      </c>
      <c r="S19" s="100">
        <f t="shared" si="2"/>
        <v>29.354332201358016</v>
      </c>
      <c r="T19" s="100"/>
      <c r="U19" s="100"/>
      <c r="V19" s="100"/>
      <c r="W19" s="100"/>
      <c r="X19" s="70"/>
      <c r="Y19" s="70"/>
      <c r="Z19" s="70"/>
      <c r="AA19" s="70"/>
      <c r="AB19" s="71"/>
      <c r="AC19" s="72"/>
      <c r="AD19" s="73">
        <f t="shared" si="1"/>
        <v>10820857.220901661</v>
      </c>
      <c r="AE19" s="74">
        <f>SUM(AE15:AE18)</f>
        <v>27.498331666675604</v>
      </c>
      <c r="AF19" s="50"/>
      <c r="AG19" s="101">
        <f>SUM(AG15:AG18)</f>
        <v>2671387.2209016606</v>
      </c>
      <c r="AH19" s="67">
        <f>SUM(AH15:AH18)</f>
        <v>23.924222298691276</v>
      </c>
      <c r="AI19" s="102">
        <f>SUM(AI15:AI18)</f>
        <v>8149470.0000000028</v>
      </c>
      <c r="AJ19" s="103">
        <f>SUM(AJ15:AJ18)</f>
        <v>28.914288444187839</v>
      </c>
    </row>
    <row r="20" spans="1:36">
      <c r="A20" s="104"/>
      <c r="B20" s="105"/>
      <c r="C20" s="79" t="s">
        <v>40</v>
      </c>
      <c r="D20" s="88">
        <f>'[1]7.실적DATA'!F4</f>
        <v>0</v>
      </c>
      <c r="E20" s="106" t="e">
        <f>'[1]10.1공장보도표'!E24</f>
        <v>#DIV/0!</v>
      </c>
      <c r="F20" s="91">
        <f>'[1]7.실적DATA'!F5</f>
        <v>0</v>
      </c>
      <c r="G20" s="106" t="e">
        <f>'[1]10.1공장보도표'!G24</f>
        <v>#DIV/0!</v>
      </c>
      <c r="H20" s="91">
        <f>'[1]7.실적DATA'!F6</f>
        <v>61187</v>
      </c>
      <c r="I20" s="106">
        <f>'[1]10.1공장보도표'!I24</f>
        <v>20.738330164984951</v>
      </c>
      <c r="J20" s="91">
        <f>'[1]7.실적DATA'!F7</f>
        <v>0</v>
      </c>
      <c r="K20" s="107"/>
      <c r="L20" s="91">
        <f>'[1]7.실적DATA'!F8</f>
        <v>55439</v>
      </c>
      <c r="M20" s="106">
        <f>'[1]10.1공장보도표'!M24</f>
        <v>16.25532347258725</v>
      </c>
      <c r="N20" s="91">
        <f>'[1]7.실적DATA'!F9</f>
        <v>29015</v>
      </c>
      <c r="O20" s="106">
        <f>'[1]10.1공장보도표'!O24</f>
        <v>15.651618452719459</v>
      </c>
      <c r="P20" s="91">
        <f>'[1]7.실적DATA'!F10</f>
        <v>189414</v>
      </c>
      <c r="Q20" s="108">
        <f>'[1]12.2공장보도표'!I24</f>
        <v>21.850655178603493</v>
      </c>
      <c r="R20" s="91">
        <f>'[1]7.실적DATA'!F11</f>
        <v>178208</v>
      </c>
      <c r="S20" s="108">
        <f>'[1]12.2공장보도표'!K24</f>
        <v>22.505443077751842</v>
      </c>
      <c r="T20" s="86"/>
      <c r="U20" s="86"/>
      <c r="V20" s="86"/>
      <c r="W20" s="86"/>
      <c r="X20" s="86"/>
      <c r="Y20" s="86"/>
      <c r="Z20" s="86"/>
      <c r="AA20" s="86"/>
      <c r="AB20" s="86"/>
      <c r="AC20" s="87"/>
      <c r="AD20" s="88">
        <f t="shared" si="1"/>
        <v>513263</v>
      </c>
      <c r="AE20" s="109">
        <f>AD19/AD20</f>
        <v>21.082480562404967</v>
      </c>
      <c r="AF20" s="50"/>
      <c r="AG20" s="88">
        <f>'[1]7.실적DATA'!F4+'[1]7.실적DATA'!F5+'[1]7.실적DATA'!F6+'[1]7.실적DATA'!F7+'[1]7.실적DATA'!F8+'[1]7.실적DATA'!F9</f>
        <v>145641</v>
      </c>
      <c r="AH20" s="108">
        <f>AG19/AG20</f>
        <v>18.342274640394262</v>
      </c>
      <c r="AI20" s="91">
        <f>'[1]7.실적DATA'!F10+'[1]7.실적DATA'!F11</f>
        <v>367622</v>
      </c>
      <c r="AJ20" s="89">
        <f>AI19/AI20</f>
        <v>22.168069375608649</v>
      </c>
    </row>
    <row r="21" spans="1:36">
      <c r="A21" s="1"/>
      <c r="B21" s="110"/>
      <c r="C21" s="28" t="s">
        <v>41</v>
      </c>
      <c r="D21" s="48">
        <f>'[1]10.1공장보도표'!$D$25</f>
        <v>5578.9999999992724</v>
      </c>
      <c r="E21" s="94">
        <f>'[1]10.1공장보도표'!$E$25</f>
        <v>1.1954774566609259</v>
      </c>
      <c r="F21" s="43">
        <f>'[1]10.1공장보도표'!$F$25</f>
        <v>22099.999999998545</v>
      </c>
      <c r="G21" s="94">
        <f>'[1]10.1공장보도표'!$G$25</f>
        <v>2.3678124925800477</v>
      </c>
      <c r="H21" s="43">
        <f>'[1]10.1공장보도표'!$H$25</f>
        <v>88000</v>
      </c>
      <c r="I21" s="94">
        <f>'[1]10.1공장보도표'!$I$25</f>
        <v>1.0478398437742651</v>
      </c>
      <c r="J21" s="43">
        <f>'[1]10.1공장보도표'!$J$25</f>
        <v>45119.999999999891</v>
      </c>
      <c r="K21" s="94">
        <f>'[1]10.1공장보도표'!$K$25</f>
        <v>0.89783198949111109</v>
      </c>
      <c r="L21" s="43">
        <f>'[1]12.2공장보도표'!$D$25</f>
        <v>164791.99999999942</v>
      </c>
      <c r="M21" s="94">
        <f>'[1]12.2공장보도표'!$E$25</f>
        <v>0.61381131604654937</v>
      </c>
      <c r="N21" s="43">
        <f>'[1]12.2공장보도표'!$F$25</f>
        <v>46839.999999999636</v>
      </c>
      <c r="O21" s="94">
        <f>'[1]12.2공장보도표'!$G$25</f>
        <v>0.79794440486423313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57"/>
      <c r="AD21" s="48">
        <f t="shared" si="1"/>
        <v>372430.99999999674</v>
      </c>
      <c r="AE21" s="47">
        <f>(AD21/$AD$25)*$I$7</f>
        <v>0.7833871490519706</v>
      </c>
      <c r="AF21" s="50"/>
      <c r="AG21" s="96">
        <f>'[1]10.1공장보도표'!$X$25</f>
        <v>160798.9999999977</v>
      </c>
      <c r="AH21" s="97">
        <f>'[1]10.1공장보도표'!$Y$25</f>
        <v>1.0847430044453552</v>
      </c>
      <c r="AI21" s="53">
        <f>'[1]12.2공장보도표'!$R$25</f>
        <v>211631.99999999907</v>
      </c>
      <c r="AJ21" s="54">
        <f>'[1]12.2공장보도표'!$S$25</f>
        <v>0.64684804375850447</v>
      </c>
    </row>
    <row r="22" spans="1:36">
      <c r="A22" s="1"/>
      <c r="B22" s="93"/>
      <c r="C22" s="28" t="s">
        <v>42</v>
      </c>
      <c r="D22" s="48">
        <f>'[1]10.1공장보도표'!$D$26</f>
        <v>2533.9999999992724</v>
      </c>
      <c r="E22" s="94">
        <f>'[1]10.1공장보도표'!$E$26</f>
        <v>0.54298976074176575</v>
      </c>
      <c r="F22" s="43">
        <f>'[1]10.1공장보도표'!$F$26</f>
        <v>12399.999999999636</v>
      </c>
      <c r="G22" s="94">
        <f>'[1]10.1공장보도표'!$G$26</f>
        <v>1.3285463759273148</v>
      </c>
      <c r="H22" s="43">
        <f>'[1]10.1공장보도표'!$H$26</f>
        <v>74390.00000000032</v>
      </c>
      <c r="I22" s="94">
        <f>'[1]10.1공장보도표'!$I$26</f>
        <v>0.88578188611781716</v>
      </c>
      <c r="J22" s="43">
        <f>'[1]10.1공장보도표'!$J$26</f>
        <v>46759.999999999309</v>
      </c>
      <c r="K22" s="94">
        <f>'[1]10.1공장보도표'!$K$26</f>
        <v>0.93046595364813467</v>
      </c>
      <c r="L22" s="43">
        <f>'[1]12.2공장보도표'!$D$26</f>
        <v>243905.00000000058</v>
      </c>
      <c r="M22" s="94">
        <f>'[1]12.2공장보도표'!$E$26</f>
        <v>0.90848857371920066</v>
      </c>
      <c r="N22" s="43">
        <f>'[1]12.2공장보도표'!$F$26</f>
        <v>93184.000000000815</v>
      </c>
      <c r="O22" s="94">
        <f>'[1]12.2공장보도표'!$G$26</f>
        <v>1.5874391849459848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57"/>
      <c r="AD22" s="48">
        <f t="shared" si="1"/>
        <v>473173</v>
      </c>
      <c r="AE22" s="47">
        <f>(AD22/$AD$25)*$I$7</f>
        <v>0.99529214130502375</v>
      </c>
      <c r="AF22" s="50"/>
      <c r="AG22" s="96">
        <f>'[1]10.1공장보도표'!$X$26</f>
        <v>136083.99999999854</v>
      </c>
      <c r="AH22" s="97">
        <f>'[1]10.1공장보도표'!$Y$26</f>
        <v>0.91801669797039953</v>
      </c>
      <c r="AI22" s="53">
        <f>'[1]12.2공장보도표'!$R$26</f>
        <v>337089.0000000014</v>
      </c>
      <c r="AJ22" s="54">
        <f>'[1]12.2공장보도표'!$S$26</f>
        <v>1.0303043028583219</v>
      </c>
    </row>
    <row r="23" spans="1:36">
      <c r="A23" s="1"/>
      <c r="B23" s="93" t="s">
        <v>46</v>
      </c>
      <c r="C23" s="28" t="s">
        <v>45</v>
      </c>
      <c r="D23" s="48">
        <f>'[1]10.1공장보도표'!$D$27</f>
        <v>0</v>
      </c>
      <c r="E23" s="94">
        <f>'[1]10.1공장보도표'!$E$27</f>
        <v>0</v>
      </c>
      <c r="F23" s="43">
        <f>'[1]10.1공장보도표'!$F$27</f>
        <v>55900.000000001455</v>
      </c>
      <c r="G23" s="94">
        <f>'[1]10.1공장보도표'!$G$27</f>
        <v>5.9891727753500819</v>
      </c>
      <c r="H23" s="43">
        <f>'[1]10.1공장보도표'!$H$27</f>
        <v>69444.763683378827</v>
      </c>
      <c r="I23" s="94">
        <f>'[1]10.1공장보도표'!$I$27</f>
        <v>0.82689761737423206</v>
      </c>
      <c r="J23" s="43">
        <f>'[1]10.1공장보도표'!$J$27</f>
        <v>41555.23631662118</v>
      </c>
      <c r="K23" s="94">
        <f>'[1]10.1공장보도표'!$K$27</f>
        <v>0.82689761737423217</v>
      </c>
      <c r="L23" s="43">
        <f>'[1]12.2공장보도표'!$D$27</f>
        <v>151202.13942180047</v>
      </c>
      <c r="M23" s="94">
        <f>'[1]12.2공장보도표'!$E$27</f>
        <v>0.56319229202600563</v>
      </c>
      <c r="N23" s="43">
        <f>'[1]12.2공장보도표'!$F$27</f>
        <v>17977.860578197928</v>
      </c>
      <c r="O23" s="94">
        <f>'[1]12.2공장보도표'!$G$27</f>
        <v>0.3062624521734077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57"/>
      <c r="AD23" s="48">
        <f t="shared" si="1"/>
        <v>336079.99999999988</v>
      </c>
      <c r="AE23" s="47">
        <f>(AD23/$AD$25)*$I$7</f>
        <v>0.70692491509404021</v>
      </c>
      <c r="AF23" s="50"/>
      <c r="AG23" s="96">
        <f>'[1]10.1공장보도표'!$X$27</f>
        <v>166900.00000000146</v>
      </c>
      <c r="AH23" s="97">
        <f>'[1]10.1공장보도표'!$Y$27</f>
        <v>1.1259000829727421</v>
      </c>
      <c r="AI23" s="53">
        <f>'[1]12.2공장보도표'!$R$27</f>
        <v>169179.9999999984</v>
      </c>
      <c r="AJ23" s="54">
        <f>'[1]12.2공장보도표'!$S$27</f>
        <v>0.51709454167169067</v>
      </c>
    </row>
    <row r="24" spans="1:36">
      <c r="A24" s="98"/>
      <c r="B24" s="99"/>
      <c r="C24" s="62" t="s">
        <v>39</v>
      </c>
      <c r="D24" s="73">
        <f t="shared" ref="D24:O24" si="3">SUM(D21:D23)</f>
        <v>8112.9999999985448</v>
      </c>
      <c r="E24" s="100">
        <f t="shared" si="3"/>
        <v>1.7384672174026916</v>
      </c>
      <c r="F24" s="66">
        <f t="shared" si="3"/>
        <v>90399.999999999636</v>
      </c>
      <c r="G24" s="100">
        <f t="shared" si="3"/>
        <v>9.6855316438574448</v>
      </c>
      <c r="H24" s="66">
        <f t="shared" si="3"/>
        <v>231834.76368337916</v>
      </c>
      <c r="I24" s="100">
        <f t="shared" si="3"/>
        <v>2.7605193472663143</v>
      </c>
      <c r="J24" s="66">
        <f t="shared" si="3"/>
        <v>133435.23631662037</v>
      </c>
      <c r="K24" s="100">
        <f t="shared" si="3"/>
        <v>2.6551955605134783</v>
      </c>
      <c r="L24" s="66">
        <f t="shared" si="3"/>
        <v>559899.1394218005</v>
      </c>
      <c r="M24" s="67">
        <f t="shared" si="3"/>
        <v>2.0854921817917558</v>
      </c>
      <c r="N24" s="66">
        <f>SUM(N21:N23)</f>
        <v>158001.86057819839</v>
      </c>
      <c r="O24" s="100">
        <f t="shared" si="3"/>
        <v>2.6916460419836259</v>
      </c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1"/>
      <c r="AC24" s="72"/>
      <c r="AD24" s="73">
        <f t="shared" si="1"/>
        <v>1181683.9999999965</v>
      </c>
      <c r="AE24" s="74">
        <f>SUM(AE21:AE23)</f>
        <v>2.4856042054510343</v>
      </c>
      <c r="AF24" s="50"/>
      <c r="AG24" s="101">
        <f>SUM(AG21:AG23)</f>
        <v>463782.99999999773</v>
      </c>
      <c r="AH24" s="67">
        <f>SUM(AH21:AH23)</f>
        <v>3.1286597853884968</v>
      </c>
      <c r="AI24" s="102">
        <f>SUM(AI21:AI23)</f>
        <v>717900.99999999884</v>
      </c>
      <c r="AJ24" s="103">
        <f>SUM(AJ21:AJ23)</f>
        <v>2.1942468882885171</v>
      </c>
    </row>
    <row r="25" spans="1:36">
      <c r="A25" s="104"/>
      <c r="B25" s="111"/>
      <c r="C25" s="79" t="s">
        <v>40</v>
      </c>
      <c r="D25" s="112">
        <f>'[1]7.실적DATA'!G4</f>
        <v>242</v>
      </c>
      <c r="E25" s="106">
        <f>'[1]10.1공장보도표'!E29</f>
        <v>33.524793388423738</v>
      </c>
      <c r="F25" s="91">
        <f>'[1]7.실적DATA'!G5</f>
        <v>484</v>
      </c>
      <c r="G25" s="106">
        <f>'[1]10.1공장보도표'!G29</f>
        <v>186.77685950413149</v>
      </c>
      <c r="H25" s="91">
        <f>'[1]7.실적DATA'!G6</f>
        <v>4355</v>
      </c>
      <c r="I25" s="106">
        <f>'[1]10.1공장보도표'!I29</f>
        <v>53.234159284358014</v>
      </c>
      <c r="J25" s="91">
        <f>'[1]7.실적DATA'!G7</f>
        <v>2606</v>
      </c>
      <c r="K25" s="106">
        <f>'[1]10.1공장보도표'!K29</f>
        <v>51.203083774604899</v>
      </c>
      <c r="L25" s="91">
        <f>'[1]7.실적DATA'!G8</f>
        <v>13922</v>
      </c>
      <c r="M25" s="106">
        <f>'[1]12.2공장보도표'!E29</f>
        <v>40.216861041646354</v>
      </c>
      <c r="N25" s="91">
        <f>'[1]7.실적DATA'!G9</f>
        <v>3044</v>
      </c>
      <c r="O25" s="106">
        <f>'[1]12.2공장보도표'!G29</f>
        <v>51.905998875886461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7"/>
      <c r="AD25" s="88">
        <f t="shared" si="1"/>
        <v>24653</v>
      </c>
      <c r="AE25" s="89">
        <f>AD24/AD25</f>
        <v>47.932665395692069</v>
      </c>
      <c r="AF25" s="50"/>
      <c r="AG25" s="88">
        <f>'[1]7.실적DATA'!G4+'[1]7.실적DATA'!G5+'[1]7.실적DATA'!G6+'[1]7.실적DATA'!G7</f>
        <v>7687</v>
      </c>
      <c r="AH25" s="108">
        <f>AG24/AG25</f>
        <v>60.333420059840996</v>
      </c>
      <c r="AI25" s="91">
        <f>'[1]7.실적DATA'!G8+'[1]7.실적DATA'!G9</f>
        <v>16966</v>
      </c>
      <c r="AJ25" s="89">
        <f>AI24/AI25</f>
        <v>42.314098785806841</v>
      </c>
    </row>
    <row r="26" spans="1:36">
      <c r="A26" s="1"/>
      <c r="B26" s="93"/>
      <c r="C26" s="28" t="s">
        <v>47</v>
      </c>
      <c r="D26" s="48">
        <f>'[1]10.1공장보도표'!$D$30</f>
        <v>0</v>
      </c>
      <c r="E26" s="94" t="str">
        <f>'[1]10.1공장보도표'!$E$30</f>
        <v>0</v>
      </c>
      <c r="F26" s="43">
        <f>'[1]10.1공장보도표'!$F$30</f>
        <v>0</v>
      </c>
      <c r="G26" s="94" t="str">
        <f>'[1]10.1공장보도표'!$G$30</f>
        <v>0</v>
      </c>
      <c r="H26" s="43">
        <f>'[1]10.1공장보도표'!$H$30</f>
        <v>102469.99999999935</v>
      </c>
      <c r="I26" s="94">
        <f>'[1]10.1공장보도표'!$I$30</f>
        <v>1.1258718136939272</v>
      </c>
      <c r="J26" s="43"/>
      <c r="K26" s="94"/>
      <c r="L26" s="43">
        <f>'[1]10.1공장보도표'!$L$30</f>
        <v>38799.999999999272</v>
      </c>
      <c r="M26" s="94">
        <f>'[1]10.1공장보도표'!$M$30</f>
        <v>1.5798950544255761</v>
      </c>
      <c r="N26" s="43">
        <f>'[1]12.2공장보도표'!$F$30</f>
        <v>394860.00000000058</v>
      </c>
      <c r="O26" s="94">
        <f>'[1]12.2공장보도표'!$G$30</f>
        <v>1.4302972577556097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57"/>
      <c r="AD26" s="48">
        <f t="shared" si="1"/>
        <v>536129.99999999919</v>
      </c>
      <c r="AE26" s="49">
        <f>(AD26/$AD$38)*$K$7</f>
        <v>1.3689322831866639</v>
      </c>
      <c r="AF26" s="50"/>
      <c r="AG26" s="96">
        <f>'[1]10.1공장보도표'!$X$30</f>
        <v>141269.9999999986</v>
      </c>
      <c r="AH26" s="113">
        <f>'[1]10.1공장보도표'!$Y$30</f>
        <v>1.2223495348463758</v>
      </c>
      <c r="AI26" s="53">
        <f>'[1]12.2공장보도표'!$R$30</f>
        <v>394860.00000000058</v>
      </c>
      <c r="AJ26" s="114">
        <f>'[1]12.2공장보도표'!$S$30</f>
        <v>1.4302972577556097</v>
      </c>
    </row>
    <row r="27" spans="1:36">
      <c r="A27" s="1"/>
      <c r="B27" s="93"/>
      <c r="C27" s="28" t="s">
        <v>48</v>
      </c>
      <c r="D27" s="48">
        <f>'[1]10.1공장보도표'!$D$31</f>
        <v>0</v>
      </c>
      <c r="E27" s="94" t="str">
        <f>'[1]10.1공장보도표'!$E$31</f>
        <v>0</v>
      </c>
      <c r="F27" s="43">
        <f>'[1]10.1공장보도표'!$F$31</f>
        <v>8.0035533756017685E-10</v>
      </c>
      <c r="G27" s="94" t="str">
        <f>'[1]10.1공장보도표'!$G$31</f>
        <v>0</v>
      </c>
      <c r="H27" s="43">
        <f>'[1]10.1공장보도표'!$H$31</f>
        <v>513630.00000000873</v>
      </c>
      <c r="I27" s="94">
        <f>'[1]10.1공장보도표'!$I$31</f>
        <v>5.6434228522262648</v>
      </c>
      <c r="J27" s="43"/>
      <c r="K27" s="94"/>
      <c r="L27" s="43">
        <f>'[1]10.1공장보도표'!$L$31</f>
        <v>87670.000000000073</v>
      </c>
      <c r="M27" s="94">
        <f>'[1]10.1공장보도표'!$M$31</f>
        <v>3.5698298819972414</v>
      </c>
      <c r="N27" s="43">
        <f>'[1]12.2공장보도표'!$F$31</f>
        <v>1624730.0000000014</v>
      </c>
      <c r="O27" s="94">
        <f>'[1]12.2공장보도표'!$G$31</f>
        <v>5.8852425254350162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57"/>
      <c r="AD27" s="48">
        <f t="shared" si="1"/>
        <v>2226030.0000000112</v>
      </c>
      <c r="AE27" s="49">
        <f t="shared" ref="AE27:AE36" si="4">(AD27/$AD$38)*$K$7</f>
        <v>5.6838534130565899</v>
      </c>
      <c r="AF27" s="50"/>
      <c r="AG27" s="96">
        <f>'[1]10.1공장보도표'!$X$31</f>
        <v>601300.00000000966</v>
      </c>
      <c r="AH27" s="113">
        <f>'[1]10.1공장보도표'!$Y$31</f>
        <v>5.2027944737251008</v>
      </c>
      <c r="AI27" s="53">
        <f>'[1]12.2공장보도표'!$R$31</f>
        <v>1624730.0000000014</v>
      </c>
      <c r="AJ27" s="114">
        <f>'[1]12.2공장보도표'!$S$31</f>
        <v>5.8852425254350154</v>
      </c>
    </row>
    <row r="28" spans="1:36">
      <c r="A28" s="1"/>
      <c r="B28" s="93"/>
      <c r="C28" s="28" t="s">
        <v>49</v>
      </c>
      <c r="D28" s="48">
        <f>'[1]10.1공장보도표'!$D$32</f>
        <v>0</v>
      </c>
      <c r="E28" s="94" t="str">
        <f>'[1]10.1공장보도표'!$E$32</f>
        <v>0</v>
      </c>
      <c r="F28" s="43">
        <f>'[1]10.1공장보도표'!$F$32</f>
        <v>0</v>
      </c>
      <c r="G28" s="94" t="str">
        <f>'[1]10.1공장보도표'!$G$32</f>
        <v>0</v>
      </c>
      <c r="H28" s="43">
        <f>'[1]10.1공장보도표'!$H$32</f>
        <v>858399.99999999779</v>
      </c>
      <c r="I28" s="94">
        <f>'[1]10.1공장보도표'!$I$32</f>
        <v>9.4315249817007007</v>
      </c>
      <c r="J28" s="43"/>
      <c r="K28" s="94"/>
      <c r="L28" s="43">
        <f>'[1]10.1공장보도표'!$L$32</f>
        <v>174529.99999999884</v>
      </c>
      <c r="M28" s="94">
        <f>'[1]10.1공장보도표'!$M$32</f>
        <v>7.1066774187860595</v>
      </c>
      <c r="N28" s="43">
        <f>'[1]12.2공장보도표'!$F$32</f>
        <v>2281280.0000000014</v>
      </c>
      <c r="O28" s="94">
        <f>'[1]12.2공장보도표'!$G$32</f>
        <v>8.2634567395348082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57"/>
      <c r="AD28" s="48">
        <f t="shared" si="1"/>
        <v>3314209.9999999977</v>
      </c>
      <c r="AE28" s="49">
        <f t="shared" si="4"/>
        <v>8.4623674524090742</v>
      </c>
      <c r="AF28" s="50"/>
      <c r="AG28" s="96">
        <f>'[1]10.1공장보도표'!$X$32</f>
        <v>1032929.9999999966</v>
      </c>
      <c r="AH28" s="113">
        <f>'[1]10.1공장보도표'!$Y$32</f>
        <v>8.9375062294108822</v>
      </c>
      <c r="AI28" s="53">
        <f>'[1]12.2공장보도표'!$R$32</f>
        <v>2281280.0000000014</v>
      </c>
      <c r="AJ28" s="114">
        <f>'[1]12.2공장보도표'!$S$32</f>
        <v>8.2634567395348082</v>
      </c>
    </row>
    <row r="29" spans="1:36">
      <c r="A29" s="1"/>
      <c r="B29" s="93"/>
      <c r="C29" s="28" t="s">
        <v>50</v>
      </c>
      <c r="D29" s="48">
        <f>'[1]10.1공장보도표'!$D$33</f>
        <v>3000</v>
      </c>
      <c r="E29" s="94" t="str">
        <f>'[1]10.1공장보도표'!$E$33</f>
        <v>0</v>
      </c>
      <c r="F29" s="43">
        <f>'[1]10.1공장보도표'!$F$33</f>
        <v>0</v>
      </c>
      <c r="G29" s="94" t="str">
        <f>'[1]10.1공장보도표'!$G$33</f>
        <v>0</v>
      </c>
      <c r="H29" s="43">
        <f>'[1]10.1공장보도표'!$H$33</f>
        <v>169000</v>
      </c>
      <c r="I29" s="94">
        <f>'[1]10.1공장보도표'!$I$33</f>
        <v>1.8568589490999796</v>
      </c>
      <c r="J29" s="43"/>
      <c r="K29" s="94"/>
      <c r="L29" s="43">
        <f>'[1]10.1공장보도표'!$L$33</f>
        <v>276749.99999999272</v>
      </c>
      <c r="M29" s="94">
        <f>'[1]10.1공장보도표'!$M$33</f>
        <v>11.268967946192651</v>
      </c>
      <c r="N29" s="43">
        <f>'[1]12.2공장보도표'!$F$33</f>
        <v>288960.00000000006</v>
      </c>
      <c r="O29" s="94">
        <f>'[1]12.2공장보도표'!$G$33</f>
        <v>1.0466967927900026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57"/>
      <c r="AD29" s="48">
        <f t="shared" si="1"/>
        <v>737709.99999999278</v>
      </c>
      <c r="AE29" s="49">
        <f t="shared" si="4"/>
        <v>1.8836383612736194</v>
      </c>
      <c r="AF29" s="50"/>
      <c r="AG29" s="96">
        <f>'[1]10.1공장보도표'!$X$33</f>
        <v>448749.99999999272</v>
      </c>
      <c r="AH29" s="113">
        <f>'[1]10.1공장보도표'!$Y$33</f>
        <v>3.882843871751311</v>
      </c>
      <c r="AI29" s="53">
        <f>'[1]12.2공장보도표'!$R$33</f>
        <v>288960.00000000006</v>
      </c>
      <c r="AJ29" s="114">
        <f>'[1]12.2공장보도표'!$S$33</f>
        <v>1.0466967927900026</v>
      </c>
    </row>
    <row r="30" spans="1:36">
      <c r="A30" s="1"/>
      <c r="B30" s="93"/>
      <c r="C30" s="28" t="s">
        <v>51</v>
      </c>
      <c r="D30" s="48">
        <f>'[1]10.1공장보도표'!$D$34</f>
        <v>20999.999999995634</v>
      </c>
      <c r="E30" s="94" t="str">
        <f>'[1]10.1공장보도표'!$E$34</f>
        <v>0</v>
      </c>
      <c r="F30" s="43">
        <f>'[1]10.1공장보도표'!$F$34</f>
        <v>-4.3655745685100555E-10</v>
      </c>
      <c r="G30" s="94" t="str">
        <f>'[1]10.1공장보도표'!$G$34</f>
        <v>0</v>
      </c>
      <c r="H30" s="43">
        <f>'[1]10.1공장보도표'!$H$34</f>
        <v>306000</v>
      </c>
      <c r="I30" s="94">
        <f>'[1]10.1공장보도표'!$I$34</f>
        <v>3.3621233042875374</v>
      </c>
      <c r="J30" s="43"/>
      <c r="K30" s="94"/>
      <c r="L30" s="43">
        <f>'[1]10.1공장보도표'!$L$34</f>
        <v>179740.00000000524</v>
      </c>
      <c r="M30" s="94">
        <f>'[1]10.1공장보도표'!$M$34</f>
        <v>7.3188231206821301</v>
      </c>
      <c r="N30" s="43">
        <f>'[1]12.2공장보도표'!$F$34</f>
        <v>1054610.0000000005</v>
      </c>
      <c r="O30" s="94">
        <f>'[1]12.2공장보도표'!$G$34</f>
        <v>3.8201027984643723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57"/>
      <c r="AD30" s="48">
        <f t="shared" si="1"/>
        <v>1561350.0000000007</v>
      </c>
      <c r="AE30" s="49">
        <f t="shared" si="4"/>
        <v>3.9866868489983811</v>
      </c>
      <c r="AF30" s="50"/>
      <c r="AG30" s="96">
        <f>'[1]10.1공장보도표'!$X$34</f>
        <v>506740.00000000047</v>
      </c>
      <c r="AH30" s="113">
        <f>'[1]10.1공장보도표'!$Y$34</f>
        <v>4.3846068046156947</v>
      </c>
      <c r="AI30" s="53">
        <f>'[1]12.2공장보도표'!$R$34</f>
        <v>1054610.0000000005</v>
      </c>
      <c r="AJ30" s="114">
        <f>'[1]12.2공장보도표'!$S$34</f>
        <v>3.8201027984643723</v>
      </c>
    </row>
    <row r="31" spans="1:36">
      <c r="A31" s="1"/>
      <c r="B31" s="93"/>
      <c r="C31" s="115" t="s">
        <v>52</v>
      </c>
      <c r="D31" s="48">
        <f>'[1]10.1공장보도표'!$D$35</f>
        <v>0</v>
      </c>
      <c r="E31" s="116" t="str">
        <f>'[1]10.1공장보도표'!$E$35</f>
        <v>0</v>
      </c>
      <c r="F31" s="43">
        <f>'[1]10.1공장보도표'!$F$35</f>
        <v>0</v>
      </c>
      <c r="G31" s="94" t="str">
        <f>'[1]10.1공장보도표'!$G$35</f>
        <v>0</v>
      </c>
      <c r="H31" s="43">
        <f>'[1]10.1공장보도표'!$H$35</f>
        <v>177360.00000000058</v>
      </c>
      <c r="I31" s="94">
        <f>'[1]10.1공장보도표'!$I$35</f>
        <v>1.9487130367596066</v>
      </c>
      <c r="J31" s="43"/>
      <c r="K31" s="94"/>
      <c r="L31" s="43">
        <f>'[1]10.1공장보도표'!$L$35</f>
        <v>56340.000000000146</v>
      </c>
      <c r="M31" s="94">
        <f>'[1]10.1공장보도표'!$M$35</f>
        <v>2.2941053444932695</v>
      </c>
      <c r="N31" s="43">
        <f>'[1]12.2공장보도표'!$F$35</f>
        <v>300819.99999999971</v>
      </c>
      <c r="O31" s="94">
        <f>'[1]12.2공장보도표'!$G$35</f>
        <v>1.0896571470344969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57"/>
      <c r="AD31" s="48">
        <f t="shared" si="1"/>
        <v>534520.00000000047</v>
      </c>
      <c r="AE31" s="49">
        <f t="shared" si="4"/>
        <v>1.3648213754293499</v>
      </c>
      <c r="AF31" s="50"/>
      <c r="AG31" s="96">
        <f>'[1]10.1공장보도표'!$X$35</f>
        <v>233700.00000000073</v>
      </c>
      <c r="AH31" s="113">
        <f>'[1]10.1공장보도표'!$Y$35</f>
        <v>2.0221072152162649</v>
      </c>
      <c r="AI31" s="53">
        <f>'[1]12.2공장보도표'!$R$35</f>
        <v>300819.99999999971</v>
      </c>
      <c r="AJ31" s="114">
        <f>'[1]12.2공장보도표'!$S$35</f>
        <v>1.0896571470344969</v>
      </c>
    </row>
    <row r="32" spans="1:36">
      <c r="A32" s="1"/>
      <c r="B32" s="93"/>
      <c r="C32" s="117" t="s">
        <v>53</v>
      </c>
      <c r="D32" s="48">
        <f>'[1]10.1공장보도표'!$D$36</f>
        <v>0</v>
      </c>
      <c r="E32" s="116" t="str">
        <f>'[1]10.1공장보도표'!$E$36</f>
        <v>0</v>
      </c>
      <c r="F32" s="43">
        <f>'[1]10.1공장보도표'!$F$36</f>
        <v>0</v>
      </c>
      <c r="G32" s="94" t="str">
        <f>'[1]10.1공장보도표'!$G$36</f>
        <v>0</v>
      </c>
      <c r="H32" s="43">
        <f>'[1]10.1공장보도표'!$H$36</f>
        <v>116303.04399524376</v>
      </c>
      <c r="I32" s="94">
        <f>'[1]10.1공장보도표'!$I$36</f>
        <v>1.277860047633947</v>
      </c>
      <c r="J32" s="43"/>
      <c r="K32" s="94"/>
      <c r="L32" s="43">
        <f>'[1]10.1공장보도표'!$L$36</f>
        <v>19356.956004756241</v>
      </c>
      <c r="M32" s="94">
        <f>'[1]10.1공장보도표'!$M$36</f>
        <v>0.78819482115073236</v>
      </c>
      <c r="N32" s="43">
        <f>'[1]12.2공장보도표'!$F$36</f>
        <v>227930.00000000029</v>
      </c>
      <c r="O32" s="94">
        <f>'[1]12.2공장보도표'!$G$36</f>
        <v>0.82562846061955142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57"/>
      <c r="AD32" s="48">
        <f t="shared" si="1"/>
        <v>363590.00000000029</v>
      </c>
      <c r="AE32" s="49">
        <f t="shared" si="4"/>
        <v>0.92837574626273534</v>
      </c>
      <c r="AF32" s="50"/>
      <c r="AG32" s="96">
        <f>'[1]10.1공장보도표'!$X$36</f>
        <v>135660</v>
      </c>
      <c r="AH32" s="113">
        <f>'[1]10.1공장보도표'!$Y$36</f>
        <v>1.1738085785889503</v>
      </c>
      <c r="AI32" s="53">
        <f>'[1]12.2공장보도표'!$R$36</f>
        <v>227930.00000000029</v>
      </c>
      <c r="AJ32" s="114">
        <f>'[1]12.2공장보도표'!$S$36</f>
        <v>0.82562846061955142</v>
      </c>
    </row>
    <row r="33" spans="1:36">
      <c r="A33" s="1"/>
      <c r="B33" s="93"/>
      <c r="C33" s="117"/>
      <c r="D33" s="48">
        <f>'[1]10.1공장보도표'!$D$37</f>
        <v>0</v>
      </c>
      <c r="E33" s="116" t="str">
        <f>'[1]10.1공장보도표'!$E$37</f>
        <v>0</v>
      </c>
      <c r="F33" s="43">
        <f>'[1]10.1공장보도표'!$F$37</f>
        <v>0</v>
      </c>
      <c r="G33" s="94" t="str">
        <f>'[1]10.1공장보도표'!$G$37</f>
        <v>0</v>
      </c>
      <c r="H33" s="43">
        <f>'[1]10.1공장보도표'!$H$37</f>
        <v>0</v>
      </c>
      <c r="I33" s="94">
        <f>'[1]10.1공장보도표'!$I$37</f>
        <v>0</v>
      </c>
      <c r="J33" s="43"/>
      <c r="K33" s="94"/>
      <c r="L33" s="43">
        <f>'[1]10.1공장보도표'!$L$37</f>
        <v>0</v>
      </c>
      <c r="M33" s="94">
        <f>'[1]10.1공장보도표'!$M$37</f>
        <v>0</v>
      </c>
      <c r="N33" s="43">
        <f>'[1]12.2공장보도표'!$F$37</f>
        <v>0</v>
      </c>
      <c r="O33" s="94">
        <f>'[1]12.2공장보도표'!$G$37</f>
        <v>0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57"/>
      <c r="AD33" s="48">
        <f t="shared" si="1"/>
        <v>0</v>
      </c>
      <c r="AE33" s="49">
        <f t="shared" si="4"/>
        <v>0</v>
      </c>
      <c r="AF33" s="50"/>
      <c r="AG33" s="96">
        <f>'[1]10.1공장보도표'!$X$37</f>
        <v>0</v>
      </c>
      <c r="AH33" s="113">
        <f>'[1]10.1공장보도표'!$Y$37</f>
        <v>0</v>
      </c>
      <c r="AI33" s="53">
        <f>'[1]12.2공장보도표'!$R$37</f>
        <v>0</v>
      </c>
      <c r="AJ33" s="114">
        <f>'[1]12.2공장보도표'!$S$37</f>
        <v>0</v>
      </c>
    </row>
    <row r="34" spans="1:36">
      <c r="A34" s="1"/>
      <c r="B34" s="93" t="s">
        <v>54</v>
      </c>
      <c r="C34" s="28" t="s">
        <v>55</v>
      </c>
      <c r="D34" s="48">
        <f>'[1]10.1공장보도표'!$D$38</f>
        <v>32299.999999998545</v>
      </c>
      <c r="E34" s="94" t="str">
        <f>'[1]10.1공장보도표'!$E$38</f>
        <v>0</v>
      </c>
      <c r="F34" s="43">
        <f>'[1]10.1공장보도표'!$F$38</f>
        <v>11660.000000003492</v>
      </c>
      <c r="G34" s="94" t="str">
        <f>'[1]10.1공장보도표'!$G$38</f>
        <v>0</v>
      </c>
      <c r="H34" s="43">
        <f>'[1]10.1공장보도표'!$H$38</f>
        <v>641110.0000000007</v>
      </c>
      <c r="I34" s="94">
        <f>'[1]10.1공장보도표'!$I$38</f>
        <v>7.0440878157247893</v>
      </c>
      <c r="J34" s="43"/>
      <c r="K34" s="94"/>
      <c r="L34" s="43">
        <f>'[1]10.1공장보도표'!$L$38</f>
        <v>207810.00000000061</v>
      </c>
      <c r="M34" s="94">
        <f>'[1]10.1공장보도표'!$M$38</f>
        <v>8.4618038984584043</v>
      </c>
      <c r="N34" s="43">
        <f>'[1]12.2공장보도표'!$F$38</f>
        <v>1119469.9999999953</v>
      </c>
      <c r="O34" s="94">
        <f>'[1]12.2공장보도표'!$G$38</f>
        <v>4.0550444996699166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57"/>
      <c r="AD34" s="48">
        <f t="shared" si="1"/>
        <v>2012349.9999999988</v>
      </c>
      <c r="AE34" s="49">
        <f t="shared" si="4"/>
        <v>5.1382516928183195</v>
      </c>
      <c r="AF34" s="50"/>
      <c r="AG34" s="96">
        <f>'[1]10.1공장보도표'!$X$38</f>
        <v>892880.00000000338</v>
      </c>
      <c r="AH34" s="113">
        <f>'[1]10.1공장보도표'!$Y$38</f>
        <v>7.7257128383495939</v>
      </c>
      <c r="AI34" s="53">
        <f>'[1]12.2공장보도표'!$R$38</f>
        <v>1119469.9999999953</v>
      </c>
      <c r="AJ34" s="114">
        <f>'[1]12.2공장보도표'!$S$38</f>
        <v>4.0550444996699166</v>
      </c>
    </row>
    <row r="35" spans="1:36">
      <c r="A35" s="1"/>
      <c r="B35" s="93"/>
      <c r="C35" s="118" t="s">
        <v>56</v>
      </c>
      <c r="D35" s="48">
        <f>'[1]10.1공장보도표'!$D$39</f>
        <v>0</v>
      </c>
      <c r="E35" s="94" t="str">
        <f>'[1]10.1공장보도표'!$E$39</f>
        <v>0</v>
      </c>
      <c r="F35" s="43">
        <f>'[1]10.1공장보도표'!$F$39</f>
        <v>0</v>
      </c>
      <c r="G35" s="94" t="str">
        <f>'[1]10.1공장보도표'!$G$39</f>
        <v>0</v>
      </c>
      <c r="H35" s="43">
        <f>'[1]10.1공장보도표'!$H$39</f>
        <v>259379.99999999738</v>
      </c>
      <c r="I35" s="94">
        <f>'[1]10.1공장보도표'!$I$39</f>
        <v>2.8498939302813482</v>
      </c>
      <c r="J35" s="43"/>
      <c r="K35" s="94"/>
      <c r="L35" s="43">
        <f>'[1]10.1공장보도표'!$L$39</f>
        <v>97970.000000001164</v>
      </c>
      <c r="M35" s="94">
        <f>'[1]10.1공장보도표'!$M$39</f>
        <v>3.9892350124247016</v>
      </c>
      <c r="N35" s="43">
        <f>'[1]12.2공장보도표'!$F$39</f>
        <v>412720.00000000116</v>
      </c>
      <c r="O35" s="94">
        <f>'[1]12.2공장보도표'!$G$39</f>
        <v>1.4949913493919265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57"/>
      <c r="AD35" s="48">
        <f t="shared" si="1"/>
        <v>770069.99999999977</v>
      </c>
      <c r="AE35" s="49">
        <f t="shared" si="4"/>
        <v>1.9662650538368596</v>
      </c>
      <c r="AF35" s="50"/>
      <c r="AG35" s="96">
        <f>'[1]10.1공장보도표'!$X$39</f>
        <v>357349.99999999854</v>
      </c>
      <c r="AH35" s="113">
        <f>'[1]10.1공장보도표'!$Y$39</f>
        <v>3.0919983455606639</v>
      </c>
      <c r="AI35" s="53">
        <f>'[1]12.2공장보도표'!$R$39</f>
        <v>412720.00000000116</v>
      </c>
      <c r="AJ35" s="114">
        <f>'[1]12.2공장보도표'!$S$39</f>
        <v>1.4949913493919262</v>
      </c>
    </row>
    <row r="36" spans="1:36">
      <c r="A36" s="1"/>
      <c r="B36" s="93"/>
      <c r="C36" s="28" t="s">
        <v>57</v>
      </c>
      <c r="D36" s="48"/>
      <c r="E36" s="94"/>
      <c r="F36" s="43"/>
      <c r="G36" s="94"/>
      <c r="H36" s="43">
        <f>'[1]10.1공장보도표'!H40</f>
        <v>0</v>
      </c>
      <c r="I36" s="94">
        <f>'[1]10.1공장보도표'!$I$39</f>
        <v>2.8498939302813482</v>
      </c>
      <c r="J36" s="43"/>
      <c r="K36" s="94"/>
      <c r="L36" s="43"/>
      <c r="M36" s="94"/>
      <c r="N36" s="43">
        <f>'[1]12.2공장보도표'!$F$40</f>
        <v>687207.39999999537</v>
      </c>
      <c r="O36" s="94">
        <f>'[1]12.2공장보도표'!$G$40</f>
        <v>2.4892641942191012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57"/>
      <c r="AD36" s="48">
        <f t="shared" si="1"/>
        <v>687207.39999999537</v>
      </c>
      <c r="AE36" s="49">
        <f t="shared" si="4"/>
        <v>1.7546871003390339</v>
      </c>
      <c r="AF36" s="50"/>
      <c r="AG36" s="96"/>
      <c r="AH36" s="113"/>
      <c r="AI36" s="53">
        <f>'[1]12.2공장보도표'!$R$40</f>
        <v>687207.39999999537</v>
      </c>
      <c r="AJ36" s="114">
        <f>'[1]12.2공장보도표'!$S$40</f>
        <v>2.4892641942191012</v>
      </c>
    </row>
    <row r="37" spans="1:36">
      <c r="A37" s="98"/>
      <c r="B37" s="99"/>
      <c r="C37" s="62" t="s">
        <v>39</v>
      </c>
      <c r="D37" s="73">
        <f t="shared" ref="D37:I37" si="5">SUM(D26:D36)</f>
        <v>56299.999999994179</v>
      </c>
      <c r="E37" s="100">
        <f t="shared" si="5"/>
        <v>0</v>
      </c>
      <c r="F37" s="66">
        <f t="shared" si="5"/>
        <v>11660.000000003856</v>
      </c>
      <c r="G37" s="100">
        <f t="shared" si="5"/>
        <v>0</v>
      </c>
      <c r="H37" s="66">
        <f t="shared" si="5"/>
        <v>3143653.0439952482</v>
      </c>
      <c r="I37" s="100">
        <f t="shared" si="5"/>
        <v>37.39025066168945</v>
      </c>
      <c r="J37" s="66"/>
      <c r="K37" s="100"/>
      <c r="L37" s="66">
        <f>SUM(L26:L36)</f>
        <v>1138966.9560047542</v>
      </c>
      <c r="M37" s="100">
        <f>SUM(M26:M36)</f>
        <v>46.377532498610769</v>
      </c>
      <c r="N37" s="66">
        <f>SUM(N26:N36)</f>
        <v>8392587.3999999948</v>
      </c>
      <c r="O37" s="100">
        <f>SUM(O26:O36)</f>
        <v>30.400381764914805</v>
      </c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1"/>
      <c r="AC37" s="72"/>
      <c r="AD37" s="73">
        <f t="shared" si="1"/>
        <v>12743167.399999995</v>
      </c>
      <c r="AE37" s="119">
        <f>SUM(AE26:AE36)</f>
        <v>32.537879327610625</v>
      </c>
      <c r="AF37" s="50"/>
      <c r="AG37" s="101">
        <f>SUM(AG26:AG36)</f>
        <v>4350580.0000000009</v>
      </c>
      <c r="AH37" s="67">
        <f>SUM(AH26:AH36)</f>
        <v>37.643727892064838</v>
      </c>
      <c r="AI37" s="102">
        <f>SUM(AI26:AI36)</f>
        <v>8392587.3999999948</v>
      </c>
      <c r="AJ37" s="103">
        <f>SUM(AJ26:AJ36)</f>
        <v>30.400381764914798</v>
      </c>
    </row>
    <row r="38" spans="1:36">
      <c r="A38" s="104"/>
      <c r="B38" s="105"/>
      <c r="C38" s="79" t="s">
        <v>40</v>
      </c>
      <c r="D38" s="88">
        <f>'[1]7.실적DATA'!H4</f>
        <v>0</v>
      </c>
      <c r="E38" s="107"/>
      <c r="F38" s="107">
        <f>'[1]7.실적DATA'!H5</f>
        <v>0</v>
      </c>
      <c r="G38" s="106" t="e">
        <f>'[1]10.1공장보도표'!G42</f>
        <v>#DIV/0!</v>
      </c>
      <c r="H38" s="107">
        <f>'[1]7.실적DATA'!H6</f>
        <v>76588</v>
      </c>
      <c r="I38" s="106">
        <f>'[1]10.1공장보도표'!I42</f>
        <v>41.04628719897697</v>
      </c>
      <c r="J38" s="107"/>
      <c r="K38" s="107"/>
      <c r="L38" s="107">
        <f>'[1]7.실적DATA'!H8</f>
        <v>20666</v>
      </c>
      <c r="M38" s="106">
        <f>'[1]10.1공장보도표'!M42</f>
        <v>55.11308216417082</v>
      </c>
      <c r="N38" s="107">
        <f>'[1]7.실적DATA'!H9</f>
        <v>232311</v>
      </c>
      <c r="O38" s="106">
        <f>'[1]12.2공장보도표'!G42</f>
        <v>36.126517470115466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7"/>
      <c r="AD38" s="88">
        <f t="shared" si="1"/>
        <v>329565</v>
      </c>
      <c r="AE38" s="120">
        <f>AD37/AD38</f>
        <v>38.666628434451461</v>
      </c>
      <c r="AF38" s="50"/>
      <c r="AG38" s="88">
        <f>'[1]7.실적DATA'!H4+'[1]7.실적DATA'!H5+'[1]7.실적DATA'!H6+'[1]7.실적DATA'!H7+'[1]7.실적DATA'!H8</f>
        <v>97254</v>
      </c>
      <c r="AH38" s="108">
        <f>AG37/AG38</f>
        <v>44.734201163962418</v>
      </c>
      <c r="AI38" s="91">
        <f>'[1]7.실적DATA'!H9</f>
        <v>232311</v>
      </c>
      <c r="AJ38" s="89">
        <f>AI37/AI38</f>
        <v>36.126517470115466</v>
      </c>
    </row>
    <row r="39" spans="1:36">
      <c r="A39" s="1"/>
      <c r="B39" s="110"/>
      <c r="C39" s="28" t="s">
        <v>41</v>
      </c>
      <c r="D39" s="48">
        <f>'[1]10.1공장보도표'!$D$43</f>
        <v>-3.0267983675003052E-9</v>
      </c>
      <c r="E39" s="94" t="str">
        <f>'[1]10.1공장보도표'!$E$43</f>
        <v xml:space="preserve"> </v>
      </c>
      <c r="F39" s="43">
        <f>'[1]10.1공장보도표'!$F$43</f>
        <v>345080.00000000175</v>
      </c>
      <c r="G39" s="94">
        <f>'[1]10.1공장보도표'!$G$43</f>
        <v>27.229543123175393</v>
      </c>
      <c r="H39" s="43">
        <f>'[1]10.1공장보도표'!$H$43</f>
        <v>345599.99999999854</v>
      </c>
      <c r="I39" s="94">
        <f>'[1]10.1공장보도표'!$I$43</f>
        <v>26.519337016574475</v>
      </c>
      <c r="J39" s="43">
        <f>'[1]10.1공장보도표'!$J$43</f>
        <v>306369.99999999534</v>
      </c>
      <c r="K39" s="94">
        <f>'[1]10.1공장보도표'!$K$43</f>
        <v>26.738523302495665</v>
      </c>
      <c r="L39" s="43">
        <f>'[1]10.1공장보도표'!$L$43</f>
        <v>1109319.9999999998</v>
      </c>
      <c r="M39" s="94">
        <f>'[1]10.1공장보도표'!$M$43</f>
        <v>29.317617210211949</v>
      </c>
      <c r="N39" s="43">
        <f>'[1]10.1공장보도표'!$N$43</f>
        <v>1146279.9999999916</v>
      </c>
      <c r="O39" s="94">
        <f>'[1]10.1공장보도표'!$O$43</f>
        <v>29.105220394068443</v>
      </c>
      <c r="P39" s="43">
        <f>'[1]10.1공장보도표'!$P$43</f>
        <v>1144809.9999999977</v>
      </c>
      <c r="Q39" s="94">
        <f>'[1]10.1공장보도표'!$Q$43</f>
        <v>28.259935818316407</v>
      </c>
      <c r="R39" s="43">
        <f>'[1]10.1공장보도표'!$R$43</f>
        <v>250509.99999999476</v>
      </c>
      <c r="S39" s="94">
        <f>'[1]10.1공장보도표'!$S$43</f>
        <v>23.221171672227918</v>
      </c>
      <c r="T39" s="43">
        <f>'[1]10.1공장보도표'!$T$43</f>
        <v>1522229.999999996</v>
      </c>
      <c r="U39" s="94">
        <f>'[1]10.1공장보도표'!$U$43</f>
        <v>29.105736137667229</v>
      </c>
      <c r="V39" s="121">
        <f>'[1]10.1공장보도표'!$V$43</f>
        <v>1504369.9999999979</v>
      </c>
      <c r="W39" s="94">
        <f>'[1]10.1공장보도표'!$W$43</f>
        <v>27.953434788263891</v>
      </c>
      <c r="X39" s="95">
        <f>'[1]12.2공장보도표'!$L$43</f>
        <v>1257.0000000023283</v>
      </c>
      <c r="Y39" s="122">
        <f>'[1]12.2공장보도표'!$M$43</f>
        <v>14.964285714313432</v>
      </c>
      <c r="Z39" s="95">
        <f>'[1]12.2공장보도표'!$N$43</f>
        <v>598520</v>
      </c>
      <c r="AA39" s="122">
        <f>'[1]12.2공장보도표'!$O$43</f>
        <v>18.33363964957422</v>
      </c>
      <c r="AB39" s="95">
        <f>'[1]12.2공장보도표'!$P$43</f>
        <v>820789.99999999907</v>
      </c>
      <c r="AC39" s="123">
        <f>'[1]12.2공장보도표'!$Q$43</f>
        <v>19.468915296852369</v>
      </c>
      <c r="AD39" s="48">
        <f t="shared" si="1"/>
        <v>9095136.9999999702</v>
      </c>
      <c r="AE39" s="47">
        <f>AD39/$AD$45</f>
        <v>26.23428202221579</v>
      </c>
      <c r="AF39" s="50"/>
      <c r="AG39" s="96">
        <f>'[1]10.1공장보도표'!$X$43</f>
        <v>7674569.9999999702</v>
      </c>
      <c r="AH39" s="113">
        <f>'[1]10.1공장보도표'!$Y$43</f>
        <v>28.236092715231678</v>
      </c>
      <c r="AI39" s="53">
        <f>'[1]12.2공장보도표'!$R$43</f>
        <v>1420567.0000000014</v>
      </c>
      <c r="AJ39" s="114">
        <f>'[1]12.2공장보도표'!$S$43</f>
        <v>18.96896740509289</v>
      </c>
    </row>
    <row r="40" spans="1:36">
      <c r="A40" s="1"/>
      <c r="B40" s="93"/>
      <c r="C40" s="28" t="s">
        <v>58</v>
      </c>
      <c r="D40" s="48">
        <f>'[1]10.1공장보도표'!$D$44</f>
        <v>0</v>
      </c>
      <c r="E40" s="94" t="e">
        <f>'[1]10.1공장보도표'!$E$44</f>
        <v>#DIV/0!</v>
      </c>
      <c r="F40" s="43">
        <f>'[1]10.1공장보도표'!$F$44</f>
        <v>52716.63558043298</v>
      </c>
      <c r="G40" s="94">
        <f>'[1]10.1공장보도표'!$G$44</f>
        <v>4.1597597712012133</v>
      </c>
      <c r="H40" s="43">
        <f>'[1]10.1공장보도표'!$H$44</f>
        <v>54209.98933829421</v>
      </c>
      <c r="I40" s="94">
        <f>'[1]10.1공장보도표'!$I$44</f>
        <v>4.1597597712012133</v>
      </c>
      <c r="J40" s="43">
        <f>'[1]10.1공장보도표'!$J$44</f>
        <v>47662.527458423501</v>
      </c>
      <c r="K40" s="94">
        <f>'[1]10.1공장보도표'!$K$44</f>
        <v>4.1597597712012133</v>
      </c>
      <c r="L40" s="43">
        <f>'[1]10.1공장보도표'!$L$44</f>
        <v>120130.94850157479</v>
      </c>
      <c r="M40" s="94">
        <f>'[1]10.1공장보도표'!$M$44</f>
        <v>3.1748757466455624</v>
      </c>
      <c r="N40" s="43">
        <f>'[1]10.1공장보도표'!$N$44</f>
        <v>125039.30640588884</v>
      </c>
      <c r="O40" s="94">
        <f>'[1]10.1공장보도표'!$O$44</f>
        <v>3.1748757466455628</v>
      </c>
      <c r="P40" s="43">
        <f>'[1]10.1공장보도표'!$P$44</f>
        <v>128614.21649661174</v>
      </c>
      <c r="Q40" s="94">
        <f>'[1]10.1공장보도표'!$Q$44</f>
        <v>3.1748757466455628</v>
      </c>
      <c r="R40" s="43">
        <f>'[1]10.1공장보도표'!$R$44</f>
        <v>7121.8403545454885</v>
      </c>
      <c r="S40" s="94">
        <f>'[1]10.1공장보도표'!$S$44</f>
        <v>0.66016317709913686</v>
      </c>
      <c r="T40" s="43">
        <f>'[1]10.1공장보도표'!$T$44</f>
        <v>34526.534162284857</v>
      </c>
      <c r="U40" s="94">
        <f>'[1]10.1공장보도표'!$U$44</f>
        <v>0.66016317709913686</v>
      </c>
      <c r="V40" s="121">
        <f>'[1]10.1공장보도표'!$V$44</f>
        <v>35528.001701944246</v>
      </c>
      <c r="W40" s="94">
        <f>'[1]10.1공장보도표'!$W$44</f>
        <v>0.66016317709913686</v>
      </c>
      <c r="X40" s="95"/>
      <c r="Y40" s="122"/>
      <c r="Z40" s="95"/>
      <c r="AA40" s="122"/>
      <c r="AB40" s="95"/>
      <c r="AC40" s="123"/>
      <c r="AD40" s="48">
        <f t="shared" si="1"/>
        <v>605550.0000000007</v>
      </c>
      <c r="AE40" s="47">
        <f>AD40/$AD$45</f>
        <v>1.7466663205351214</v>
      </c>
      <c r="AF40" s="50"/>
      <c r="AG40" s="96">
        <f>'[1]10.1공장보도표'!$X$44</f>
        <v>605550.00000000058</v>
      </c>
      <c r="AH40" s="113">
        <f>'[1]10.1공장보도표'!$Y$44</f>
        <v>2.2279249448123641</v>
      </c>
      <c r="AI40" s="53"/>
      <c r="AJ40" s="114"/>
    </row>
    <row r="41" spans="1:36">
      <c r="A41" s="1"/>
      <c r="B41" s="93"/>
      <c r="C41" s="28" t="s">
        <v>59</v>
      </c>
      <c r="D41" s="48"/>
      <c r="E41" s="94"/>
      <c r="F41" s="43"/>
      <c r="G41" s="94"/>
      <c r="H41" s="43"/>
      <c r="I41" s="94"/>
      <c r="J41" s="43"/>
      <c r="K41" s="94"/>
      <c r="L41" s="43"/>
      <c r="M41" s="94"/>
      <c r="N41" s="43"/>
      <c r="O41" s="94"/>
      <c r="P41" s="43"/>
      <c r="Q41" s="94"/>
      <c r="R41" s="43">
        <f>'[1]10.1공장보도표'!$R$45</f>
        <v>112889.99999999942</v>
      </c>
      <c r="S41" s="94">
        <f>'[1]10.1공장보도표'!$S$45</f>
        <v>10.464404894326977</v>
      </c>
      <c r="T41" s="43"/>
      <c r="U41" s="94"/>
      <c r="V41" s="121"/>
      <c r="W41" s="94"/>
      <c r="X41" s="95">
        <f>'[1]12.2공장보도표'!$L$45</f>
        <v>1477.9999999965075</v>
      </c>
      <c r="Y41" s="122">
        <f>'[1]12.2공장보도표'!$M$45</f>
        <v>17.595238095196517</v>
      </c>
      <c r="Z41" s="95">
        <f>'[1]12.2공장보도표'!$N$45</f>
        <v>362959.99999999913</v>
      </c>
      <c r="AA41" s="122">
        <f>'[1]12.2공장보도표'!$O$45</f>
        <v>11.118054279237858</v>
      </c>
      <c r="AB41" s="95">
        <f>'[1]12.2공장보도표'!$P$45</f>
        <v>500079.99999999447</v>
      </c>
      <c r="AC41" s="123">
        <f>'[1]12.2공장보도표'!$Q$45</f>
        <v>11.861761426978687</v>
      </c>
      <c r="AD41" s="48">
        <f t="shared" si="1"/>
        <v>977407.99999998952</v>
      </c>
      <c r="AE41" s="47">
        <f>AD41/$AD$45</f>
        <v>2.8192645281505602</v>
      </c>
      <c r="AF41" s="50"/>
      <c r="AG41" s="96">
        <f>'[1]10.1공장보도표'!$X$45</f>
        <v>112889.99999999942</v>
      </c>
      <c r="AH41" s="113">
        <f>'[1]10.1공장보도표'!$Y$45</f>
        <v>0.41534216335540625</v>
      </c>
      <c r="AI41" s="53">
        <f>'[1]12.2공장보도표'!$R$45</f>
        <v>864517.9999999901</v>
      </c>
      <c r="AJ41" s="114">
        <f>'[1]12.2공장보도표'!$S$45</f>
        <v>11.543991774492785</v>
      </c>
    </row>
    <row r="42" spans="1:36">
      <c r="A42" s="1"/>
      <c r="B42" s="93" t="s">
        <v>60</v>
      </c>
      <c r="C42" s="28" t="s">
        <v>45</v>
      </c>
      <c r="D42" s="48">
        <f>'[1]10.1공장보도표'!$D$46</f>
        <v>0.37681221138336696</v>
      </c>
      <c r="E42" s="94" t="e">
        <f>'[1]10.1공장보도표'!$E$46</f>
        <v>#DIV/0!</v>
      </c>
      <c r="F42" s="43">
        <f>'[1]10.1공장보도표'!$F$46</f>
        <v>116960.20905002468</v>
      </c>
      <c r="G42" s="94">
        <f>'[1]10.1공장보도표'!$G$46</f>
        <v>9.2290861713899375</v>
      </c>
      <c r="H42" s="43">
        <f>'[1]10.1공장보도표'!$H$46</f>
        <v>149165.90492623785</v>
      </c>
      <c r="I42" s="94">
        <f>'[1]10.1공장보도표'!$I$46</f>
        <v>11.446125301276693</v>
      </c>
      <c r="J42" s="43">
        <f>'[1]10.1공장보도표'!$J$46</f>
        <v>108598.8315995193</v>
      </c>
      <c r="K42" s="94">
        <f>'[1]10.1공장보도표'!$K$46</f>
        <v>9.4779919357234501</v>
      </c>
      <c r="L42" s="43">
        <f>'[1]10.1공장보도표'!$L$46</f>
        <v>290958.6239044898</v>
      </c>
      <c r="M42" s="94">
        <f>'[1]10.1공장보도표'!$M$46</f>
        <v>7.6895878192422904</v>
      </c>
      <c r="N42" s="43">
        <f>'[1]10.1공장보도표'!$N$46</f>
        <v>301621.53013295081</v>
      </c>
      <c r="O42" s="94">
        <f>'[1]10.1공장보도표'!$O$46</f>
        <v>7.6584788272636297</v>
      </c>
      <c r="P42" s="43">
        <f>'[1]10.1공장보도표'!$P$46</f>
        <v>343756.79735588422</v>
      </c>
      <c r="Q42" s="94">
        <f>'[1]10.1공장보도표'!$Q$46</f>
        <v>8.4857269157216546</v>
      </c>
      <c r="R42" s="43">
        <f>'[1]10.1공장보도표'!$R$46</f>
        <v>110460.55786578941</v>
      </c>
      <c r="S42" s="94">
        <f>'[1]10.1공장보도표'!$S$46</f>
        <v>10.239206327937469</v>
      </c>
      <c r="T42" s="43">
        <f>'[1]10.1공장보도표'!$T$46</f>
        <v>476617.06390918529</v>
      </c>
      <c r="U42" s="94">
        <f>'[1]10.1공장보도표'!$U$46</f>
        <v>9.1131369772310755</v>
      </c>
      <c r="V42" s="121">
        <f>'[1]10.1공장보도표'!$V$46</f>
        <v>507805.63422912807</v>
      </c>
      <c r="W42" s="94">
        <f>'[1]10.1공장보도표'!$W$46</f>
        <v>9.435784867776503</v>
      </c>
      <c r="X42" s="95">
        <f>'[1]12.2공장보도표'!$L$46</f>
        <v>19.703117193941978</v>
      </c>
      <c r="Y42" s="122">
        <f>'[1]12.2공장보도표'!$M$46</f>
        <v>0.23456091897549974</v>
      </c>
      <c r="Z42" s="95">
        <f>'[1]12.2공장보도표'!$N$46</f>
        <v>129176.64184994483</v>
      </c>
      <c r="AA42" s="122">
        <f>'[1]12.2공장보도표'!$O$46</f>
        <v>3.9568903341893291</v>
      </c>
      <c r="AB42" s="95">
        <f>'[1]12.2공장보도표'!$P$46</f>
        <v>132564.65503286174</v>
      </c>
      <c r="AC42" s="123">
        <f>'[1]12.2공장보도표'!$Q$46</f>
        <v>3.1443975196959544</v>
      </c>
      <c r="AD42" s="48">
        <f t="shared" si="1"/>
        <v>2667706.5297854207</v>
      </c>
      <c r="AE42" s="47">
        <f>AD42/$AD$45</f>
        <v>7.6948115740200027</v>
      </c>
      <c r="AF42" s="50"/>
      <c r="AG42" s="96">
        <f>'[1]10.1공장보도표'!$X$46</f>
        <v>2405945.5297854207</v>
      </c>
      <c r="AH42" s="113">
        <f>'[1]10.1공장보도표'!$Y$46</f>
        <v>8.8518967247440052</v>
      </c>
      <c r="AI42" s="53">
        <f>'[1]12.2공장보도표'!$R$46</f>
        <v>261761.00000000052</v>
      </c>
      <c r="AJ42" s="114">
        <f>'[1]12.2공장보도표'!$S$46</f>
        <v>3.4953197398816984</v>
      </c>
    </row>
    <row r="43" spans="1:36">
      <c r="A43" s="1"/>
      <c r="B43" s="93"/>
      <c r="C43" s="28" t="s">
        <v>57</v>
      </c>
      <c r="D43" s="48"/>
      <c r="E43" s="94"/>
      <c r="F43" s="43"/>
      <c r="G43" s="94"/>
      <c r="H43" s="43"/>
      <c r="I43" s="94"/>
      <c r="J43" s="43"/>
      <c r="K43" s="94"/>
      <c r="L43" s="43"/>
      <c r="M43" s="94"/>
      <c r="N43" s="43"/>
      <c r="O43" s="94"/>
      <c r="P43" s="43"/>
      <c r="Q43" s="94"/>
      <c r="R43" s="43"/>
      <c r="S43" s="94"/>
      <c r="T43" s="43"/>
      <c r="U43" s="94"/>
      <c r="V43" s="121"/>
      <c r="W43" s="94"/>
      <c r="X43" s="95">
        <f>'[1]12.2공장보도표'!$L$47</f>
        <v>17.310065723441141</v>
      </c>
      <c r="Y43" s="122">
        <f>'[1]12.2공장보도표'!$M$47</f>
        <v>0.20607221099334691</v>
      </c>
      <c r="Z43" s="95">
        <f>'[1]12.2공장보도표'!$N$47</f>
        <v>106608.15336549286</v>
      </c>
      <c r="AA43" s="122">
        <f>'[1]12.2공장보도표'!$O$47</f>
        <v>3.2655808786832341</v>
      </c>
      <c r="AB43" s="95">
        <f>'[1]12.2공장보도표'!$P$47</f>
        <v>147194.13656878204</v>
      </c>
      <c r="AC43" s="123">
        <f>'[1]12.2공장보도표'!$Q$47</f>
        <v>3.4914048380839686</v>
      </c>
      <c r="AD43" s="124">
        <f t="shared" si="1"/>
        <v>253819.59999999835</v>
      </c>
      <c r="AE43" s="47">
        <f>AD43/$AD$45</f>
        <v>0.73212475734735838</v>
      </c>
      <c r="AF43" s="50"/>
      <c r="AG43" s="96"/>
      <c r="AH43" s="113"/>
      <c r="AI43" s="53">
        <f>'[1]12.2공장보도표'!$R$47</f>
        <v>253819.59999999835</v>
      </c>
      <c r="AJ43" s="114">
        <f>'[1]12.2공장보도표'!$S$47</f>
        <v>3.3892774639800018</v>
      </c>
    </row>
    <row r="44" spans="1:36">
      <c r="A44" s="98"/>
      <c r="B44" s="99"/>
      <c r="C44" s="125" t="s">
        <v>16</v>
      </c>
      <c r="D44" s="73">
        <f t="shared" ref="D44:R44" si="6">SUM(D39:D43)</f>
        <v>0.37681220835656859</v>
      </c>
      <c r="E44" s="100" t="e">
        <f t="shared" si="6"/>
        <v>#DIV/0!</v>
      </c>
      <c r="F44" s="66">
        <f t="shared" si="6"/>
        <v>514756.84463045938</v>
      </c>
      <c r="G44" s="126">
        <f t="shared" si="6"/>
        <v>40.618389065766543</v>
      </c>
      <c r="H44" s="66">
        <f t="shared" si="6"/>
        <v>548975.89426453062</v>
      </c>
      <c r="I44" s="126">
        <f t="shared" si="6"/>
        <v>42.125222089052379</v>
      </c>
      <c r="J44" s="66">
        <f t="shared" si="6"/>
        <v>462631.35905793816</v>
      </c>
      <c r="K44" s="126">
        <f t="shared" si="6"/>
        <v>40.376275009420326</v>
      </c>
      <c r="L44" s="66">
        <f t="shared" si="6"/>
        <v>1520409.5724060643</v>
      </c>
      <c r="M44" s="126">
        <f t="shared" si="6"/>
        <v>40.182080776099802</v>
      </c>
      <c r="N44" s="66">
        <f t="shared" si="6"/>
        <v>1572940.8365388312</v>
      </c>
      <c r="O44" s="126">
        <f t="shared" si="6"/>
        <v>39.938574967977637</v>
      </c>
      <c r="P44" s="66">
        <f t="shared" si="6"/>
        <v>1617181.0138524936</v>
      </c>
      <c r="Q44" s="126">
        <f t="shared" si="6"/>
        <v>39.920538480683625</v>
      </c>
      <c r="R44" s="66">
        <f t="shared" si="6"/>
        <v>480982.39822032908</v>
      </c>
      <c r="S44" s="126">
        <f>SUM(S39:S42)</f>
        <v>44.584946071591496</v>
      </c>
      <c r="T44" s="66">
        <f t="shared" ref="T44:AC44" si="7">SUM(T39:T43)</f>
        <v>2033373.5980714662</v>
      </c>
      <c r="U44" s="126">
        <f t="shared" si="7"/>
        <v>38.879036291997437</v>
      </c>
      <c r="V44" s="127">
        <f t="shared" si="7"/>
        <v>2047703.6359310702</v>
      </c>
      <c r="W44" s="126">
        <f t="shared" si="7"/>
        <v>38.049382833139532</v>
      </c>
      <c r="X44" s="71">
        <f t="shared" si="7"/>
        <v>2772.0131829162192</v>
      </c>
      <c r="Y44" s="128">
        <f t="shared" si="7"/>
        <v>33.000156939478792</v>
      </c>
      <c r="Z44" s="71">
        <f t="shared" si="7"/>
        <v>1197264.7952154367</v>
      </c>
      <c r="AA44" s="128">
        <f t="shared" si="7"/>
        <v>36.674165141684639</v>
      </c>
      <c r="AB44" s="71">
        <f t="shared" si="7"/>
        <v>1600628.7916016374</v>
      </c>
      <c r="AC44" s="129">
        <f t="shared" si="7"/>
        <v>37.966479081610977</v>
      </c>
      <c r="AD44" s="73">
        <f t="shared" si="1"/>
        <v>13599621.129785381</v>
      </c>
      <c r="AE44" s="74">
        <f>SUM(AE39:AE43)</f>
        <v>39.227149202268834</v>
      </c>
      <c r="AF44" s="50"/>
      <c r="AG44" s="101">
        <f>SUM(AG39:AG43)</f>
        <v>10798955.529785391</v>
      </c>
      <c r="AH44" s="67">
        <f>SUM(AH39:AH43)</f>
        <v>39.731256548143449</v>
      </c>
      <c r="AI44" s="102">
        <f>SUM(AI39:AI43)</f>
        <v>2800665.5999999903</v>
      </c>
      <c r="AJ44" s="103">
        <f>SUM(AJ39:AJ43)</f>
        <v>37.397556383447373</v>
      </c>
    </row>
    <row r="45" spans="1:36">
      <c r="A45" s="104"/>
      <c r="B45" s="111"/>
      <c r="C45" s="130" t="s">
        <v>61</v>
      </c>
      <c r="D45" s="88">
        <f>'[1]7.실적DATA'!I4</f>
        <v>0</v>
      </c>
      <c r="E45" s="107"/>
      <c r="F45" s="91">
        <f>'[1]7.실적DATA'!I5</f>
        <v>12673</v>
      </c>
      <c r="G45" s="107"/>
      <c r="H45" s="91">
        <f>'[1]7.실적DATA'!I6</f>
        <v>13032</v>
      </c>
      <c r="I45" s="107"/>
      <c r="J45" s="91">
        <f>'[1]7.실적DATA'!I7</f>
        <v>11458</v>
      </c>
      <c r="K45" s="107"/>
      <c r="L45" s="91">
        <f>'[1]7.실적DATA'!I8</f>
        <v>37838</v>
      </c>
      <c r="M45" s="107"/>
      <c r="N45" s="91">
        <f>'[1]7.실적DATA'!I9</f>
        <v>39384</v>
      </c>
      <c r="O45" s="107"/>
      <c r="P45" s="91">
        <f>'[1]7.실적DATA'!I10</f>
        <v>40510</v>
      </c>
      <c r="Q45" s="107"/>
      <c r="R45" s="91">
        <f>'[1]7.실적DATA'!I11</f>
        <v>10788</v>
      </c>
      <c r="S45" s="107"/>
      <c r="T45" s="91">
        <f>'[1]7.실적DATA'!I12</f>
        <v>52300</v>
      </c>
      <c r="U45" s="107"/>
      <c r="V45" s="131">
        <f>'[1]7.실적DATA'!I13</f>
        <v>53817</v>
      </c>
      <c r="W45" s="107"/>
      <c r="X45" s="91">
        <f>'[1]7.실적DATA'!I14</f>
        <v>84</v>
      </c>
      <c r="Y45" s="86"/>
      <c r="Z45" s="91">
        <f>'[1]7.실적DATA'!I15</f>
        <v>32646</v>
      </c>
      <c r="AA45" s="86"/>
      <c r="AB45" s="91">
        <f>'[1]7.실적DATA'!I16</f>
        <v>42159</v>
      </c>
      <c r="AC45" s="87"/>
      <c r="AD45" s="88">
        <f t="shared" si="1"/>
        <v>346689</v>
      </c>
      <c r="AE45" s="132"/>
      <c r="AF45" s="50"/>
      <c r="AG45" s="88">
        <f>'[1]7.실적DATA'!I4+'[1]7.실적DATA'!I5+'[1]7.실적DATA'!I6+'[1]7.실적DATA'!I7+'[1]7.실적DATA'!I8+'[1]7.실적DATA'!I9+'[1]7.실적DATA'!I10+'[1]7.실적DATA'!I11+'[1]7.실적DATA'!I12+'[1]7.실적DATA'!I13</f>
        <v>271800</v>
      </c>
      <c r="AH45" s="133"/>
      <c r="AI45" s="91">
        <f>'[1]7.실적DATA'!I14+'[1]7.실적DATA'!I15+'[1]7.실적DATA'!I16</f>
        <v>74889</v>
      </c>
      <c r="AJ45" s="134"/>
    </row>
    <row r="46" spans="1:36">
      <c r="A46" s="1"/>
      <c r="B46" s="135" t="s">
        <v>62</v>
      </c>
      <c r="C46" s="28" t="s">
        <v>63</v>
      </c>
      <c r="D46" s="48">
        <f>'[1]10.1공장보도표'!$D$50</f>
        <v>329299.99999999988</v>
      </c>
      <c r="E46" s="94">
        <f>'[1]10.1공장보도표'!$E$50</f>
        <v>1.1533697748680338</v>
      </c>
      <c r="F46" s="43">
        <f>'[1]12.2공장보도표'!D50</f>
        <v>44000</v>
      </c>
      <c r="G46" s="136">
        <f>'[1]12.2공장보도표'!E50</f>
        <v>0.47152882182415423</v>
      </c>
      <c r="H46" s="43"/>
      <c r="I46" s="137"/>
      <c r="J46" s="43"/>
      <c r="K46" s="137"/>
      <c r="L46" s="43"/>
      <c r="M46" s="137"/>
      <c r="N46" s="43"/>
      <c r="O46" s="137"/>
      <c r="P46" s="43"/>
      <c r="Q46" s="137"/>
      <c r="R46" s="43"/>
      <c r="S46" s="137"/>
      <c r="T46" s="43"/>
      <c r="U46" s="137"/>
      <c r="V46" s="43"/>
      <c r="W46" s="137"/>
      <c r="X46" s="43"/>
      <c r="Y46" s="46"/>
      <c r="Z46" s="43"/>
      <c r="AA46" s="46"/>
      <c r="AB46" s="43"/>
      <c r="AC46" s="57"/>
      <c r="AD46" s="48">
        <f t="shared" si="1"/>
        <v>373299.99999999988</v>
      </c>
      <c r="AE46" s="47">
        <f>AD46/AD47</f>
        <v>0.98541620966109111</v>
      </c>
      <c r="AF46" s="50"/>
      <c r="AG46" s="96">
        <f>'[1]10.1공장보도표'!$X$50</f>
        <v>329299.99999999988</v>
      </c>
      <c r="AH46" s="113">
        <f>'[1]10.1공장보도표'!$Y$50</f>
        <v>1.1533697748680338</v>
      </c>
      <c r="AI46" s="43">
        <f>'[1]12.2공장보도표'!D50</f>
        <v>44000</v>
      </c>
      <c r="AJ46" s="136">
        <f>'[1]12.2공장보도표'!E50</f>
        <v>0.47152882182415423</v>
      </c>
    </row>
    <row r="47" spans="1:36">
      <c r="A47" s="104"/>
      <c r="B47" s="105"/>
      <c r="C47" s="130" t="s">
        <v>61</v>
      </c>
      <c r="D47" s="88">
        <f>'[1]7.실적DATA'!J20</f>
        <v>285511.20999999996</v>
      </c>
      <c r="E47" s="107"/>
      <c r="F47" s="91">
        <f>'[1]12.2공장보도표'!D51</f>
        <v>93313.49</v>
      </c>
      <c r="G47" s="107"/>
      <c r="H47" s="91"/>
      <c r="I47" s="107"/>
      <c r="J47" s="91"/>
      <c r="K47" s="107"/>
      <c r="L47" s="91"/>
      <c r="M47" s="107"/>
      <c r="N47" s="91"/>
      <c r="O47" s="107"/>
      <c r="P47" s="91"/>
      <c r="Q47" s="107"/>
      <c r="R47" s="91"/>
      <c r="S47" s="107"/>
      <c r="T47" s="91"/>
      <c r="U47" s="107"/>
      <c r="V47" s="91"/>
      <c r="W47" s="107"/>
      <c r="X47" s="91"/>
      <c r="Y47" s="86"/>
      <c r="Z47" s="91"/>
      <c r="AA47" s="86"/>
      <c r="AB47" s="91"/>
      <c r="AC47" s="87"/>
      <c r="AD47" s="88">
        <f t="shared" si="1"/>
        <v>378824.69999999995</v>
      </c>
      <c r="AE47" s="138"/>
      <c r="AF47" s="50"/>
      <c r="AG47" s="88">
        <f>'[1]7.실적DATA'!J20</f>
        <v>285511.20999999996</v>
      </c>
      <c r="AH47" s="133"/>
      <c r="AI47" s="91">
        <f>'[1]12.2공장보도표'!D51</f>
        <v>93313.49</v>
      </c>
      <c r="AJ47" s="107"/>
    </row>
    <row r="48" spans="1:36">
      <c r="A48" s="98"/>
      <c r="B48" s="139"/>
      <c r="C48" s="140" t="s">
        <v>64</v>
      </c>
      <c r="D48" s="141">
        <f>D44+D37+D24+D19+D13+D46</f>
        <v>862257.80250650598</v>
      </c>
      <c r="E48" s="141"/>
      <c r="F48" s="141">
        <f>F44+F37+F24+F19+F46</f>
        <v>660816.84463046293</v>
      </c>
      <c r="G48" s="141"/>
      <c r="H48" s="141">
        <f>H44+H37+H24+H19+H13</f>
        <v>5907692.7097480921</v>
      </c>
      <c r="I48" s="141"/>
      <c r="J48" s="141">
        <f>J44+J24+J19</f>
        <v>643226.59537455882</v>
      </c>
      <c r="K48" s="141"/>
      <c r="L48" s="141">
        <f>L44+L37+L24+L19</f>
        <v>4120454.5458293837</v>
      </c>
      <c r="M48" s="141"/>
      <c r="N48" s="141">
        <f>N44+N37+N24+N19</f>
        <v>10577661.806522679</v>
      </c>
      <c r="O48" s="141"/>
      <c r="P48" s="142">
        <f>P44+P19</f>
        <v>5756001.0138524957</v>
      </c>
      <c r="Q48" s="143"/>
      <c r="R48" s="142">
        <f>R44+R19</f>
        <v>4491632.3982203286</v>
      </c>
      <c r="S48" s="143"/>
      <c r="T48" s="142">
        <f>T44</f>
        <v>2033373.5980714662</v>
      </c>
      <c r="U48" s="143"/>
      <c r="V48" s="142">
        <f>V44</f>
        <v>2047703.6359310702</v>
      </c>
      <c r="W48" s="143"/>
      <c r="X48" s="142">
        <f>X44</f>
        <v>2772.0131829162192</v>
      </c>
      <c r="Y48" s="143"/>
      <c r="Z48" s="142">
        <f>Z44</f>
        <v>1197264.7952154367</v>
      </c>
      <c r="AA48" s="143"/>
      <c r="AB48" s="142">
        <f>AB44</f>
        <v>1600628.7916016374</v>
      </c>
      <c r="AC48" s="144"/>
      <c r="AD48" s="145">
        <f t="shared" si="1"/>
        <v>39901486.550687037</v>
      </c>
      <c r="AE48" s="146">
        <f>AE46+AE44+AE37+AE24+AE19+AE13</f>
        <v>105.79839337872478</v>
      </c>
      <c r="AF48" s="50"/>
      <c r="AG48" s="101">
        <f>AG44+AG37+AG24+AG19+AG12+AG46</f>
        <v>18658669.750687048</v>
      </c>
      <c r="AH48" s="147">
        <f>AH44+AH37+AH24+AH19+AH13+AH46</f>
        <v>105.80977785249001</v>
      </c>
      <c r="AI48" s="102">
        <f>AI44+AI37+AI24+AI19+AI13+AG13-AG12+AI46</f>
        <v>21242816.799999986</v>
      </c>
      <c r="AJ48" s="148">
        <f>AJ44+AJ37+AJ24+AJ19+AJ13+AJ46</f>
        <v>105.34907789956051</v>
      </c>
    </row>
    <row r="49" spans="1:36">
      <c r="A49" s="149"/>
      <c r="B49" s="150"/>
      <c r="C49" s="151" t="s">
        <v>65</v>
      </c>
      <c r="D49" s="152">
        <f>'[1]10.1공장보도표'!$D$53</f>
        <v>93330</v>
      </c>
      <c r="E49" s="153"/>
      <c r="F49" s="154">
        <f>'[1]12.2공장보도표'!$D$53</f>
        <v>148532</v>
      </c>
      <c r="G49" s="153"/>
      <c r="H49" s="153"/>
      <c r="I49" s="153"/>
      <c r="J49" s="153"/>
      <c r="K49" s="153"/>
      <c r="L49" s="153"/>
      <c r="M49" s="153"/>
      <c r="N49" s="153"/>
      <c r="O49" s="153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6"/>
      <c r="AC49" s="157"/>
      <c r="AD49" s="36">
        <f t="shared" si="1"/>
        <v>241862</v>
      </c>
      <c r="AE49" s="158">
        <f>(AD49*$AE$48)/$AD$48</f>
        <v>0.64129467925611749</v>
      </c>
      <c r="AF49" s="50"/>
      <c r="AG49" s="159">
        <f>'[1]10.1공장보도표'!$X$53</f>
        <v>93330</v>
      </c>
      <c r="AH49" s="160">
        <f>'[1]10.1공장보도표'!$Y$53</f>
        <v>0.52925673153142494</v>
      </c>
      <c r="AI49" s="161">
        <f>'[1]12.2공장보도표'!$R$53</f>
        <v>148532</v>
      </c>
      <c r="AJ49" s="162">
        <f>'[1]12.2공장보도표'!$S$53</f>
        <v>0.73293189904857969</v>
      </c>
    </row>
    <row r="50" spans="1:36">
      <c r="A50" s="1"/>
      <c r="B50" s="163"/>
      <c r="C50" s="28" t="s">
        <v>66</v>
      </c>
      <c r="D50" s="48">
        <f>'[1]10.1공장보도표'!$D$54</f>
        <v>344299.99999999977</v>
      </c>
      <c r="E50" s="137"/>
      <c r="F50" s="43">
        <f>'[1]12.2공장보도표'!$D$54</f>
        <v>248910.00000000003</v>
      </c>
      <c r="G50" s="137"/>
      <c r="H50" s="137"/>
      <c r="I50" s="137"/>
      <c r="J50" s="137"/>
      <c r="K50" s="137"/>
      <c r="L50" s="137"/>
      <c r="M50" s="137"/>
      <c r="N50" s="137"/>
      <c r="O50" s="137"/>
      <c r="P50" s="46"/>
      <c r="Q50" s="46"/>
      <c r="R50" s="46"/>
      <c r="S50" s="46"/>
      <c r="T50" s="46"/>
      <c r="U50" s="46"/>
      <c r="V50" s="46"/>
      <c r="W50" s="46"/>
      <c r="X50" s="164"/>
      <c r="Y50" s="46"/>
      <c r="Z50" s="46"/>
      <c r="AA50" s="46"/>
      <c r="AB50" s="46"/>
      <c r="AC50" s="57"/>
      <c r="AD50" s="48">
        <f t="shared" si="1"/>
        <v>593209.99999999977</v>
      </c>
      <c r="AE50" s="165">
        <f>(AD50*$AE$48)/$AD$48</f>
        <v>1.5728903948595536</v>
      </c>
      <c r="AF50" s="50"/>
      <c r="AG50" s="96">
        <f>'[1]10.1공장보도표'!$X$54</f>
        <v>344299.99999999977</v>
      </c>
      <c r="AH50" s="113">
        <f>'[1]10.1공장보도표'!$Y$54</f>
        <v>1.9524600092817901</v>
      </c>
      <c r="AI50" s="53">
        <f>'[1]12.2공장보도표'!$R$54</f>
        <v>248910.00000000003</v>
      </c>
      <c r="AJ50" s="114">
        <f>'[1]12.2공장보도표'!$S$54</f>
        <v>1.2282476435527832</v>
      </c>
    </row>
    <row r="51" spans="1:36">
      <c r="A51" s="1"/>
      <c r="B51" s="135" t="s">
        <v>67</v>
      </c>
      <c r="C51" s="28" t="s">
        <v>68</v>
      </c>
      <c r="D51" s="48">
        <f>'[1]10.1공장보도표'!$D$56+'[1]10.1공장보도표'!$D$55</f>
        <v>333159.99999999756</v>
      </c>
      <c r="E51" s="137"/>
      <c r="F51" s="43">
        <f>'[1]12.2공장보도표'!$D$55+'[1]12.2공장보도표'!$D$56</f>
        <v>20374.999999999774</v>
      </c>
      <c r="G51" s="137"/>
      <c r="H51" s="137"/>
      <c r="I51" s="137"/>
      <c r="J51" s="137"/>
      <c r="K51" s="137"/>
      <c r="L51" s="137"/>
      <c r="M51" s="137"/>
      <c r="N51" s="137"/>
      <c r="O51" s="137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57"/>
      <c r="AD51" s="48">
        <f t="shared" si="1"/>
        <v>353534.99999999732</v>
      </c>
      <c r="AE51" s="165">
        <f>(AD51*$AE$48)/$AD$48</f>
        <v>0.93739452427752112</v>
      </c>
      <c r="AF51" s="50"/>
      <c r="AG51" s="96">
        <f>'[1]10.1공장보도표'!$X$56+'[1]10.1공장보도표'!$X$55</f>
        <v>333159.99999999756</v>
      </c>
      <c r="AH51" s="113">
        <f>'[1]10.1공장보도표'!$Y$56+'[1]10.1공장보도표'!$Y$55</f>
        <v>1.8892871817958667</v>
      </c>
      <c r="AI51" s="53">
        <f>'[1]12.2공장보도표'!$R$55+'[1]12.2공장보도표'!$R$56</f>
        <v>20374.999999999774</v>
      </c>
      <c r="AJ51" s="114">
        <f>'[1]12.2공장보도표'!$S$55+'[1]12.2공장보도표'!$S$56</f>
        <v>0.10054053970265428</v>
      </c>
    </row>
    <row r="52" spans="1:36">
      <c r="A52" s="1"/>
      <c r="B52" s="166"/>
      <c r="C52" s="118" t="s">
        <v>69</v>
      </c>
      <c r="D52" s="48">
        <f>'[1]10.1공장보도표'!$D$57</f>
        <v>158964.00000000012</v>
      </c>
      <c r="E52" s="137"/>
      <c r="F52" s="43">
        <f>'[1]12.2공장보도표'!$D$57</f>
        <v>100000</v>
      </c>
      <c r="G52" s="137"/>
      <c r="H52" s="137"/>
      <c r="I52" s="137"/>
      <c r="J52" s="137"/>
      <c r="K52" s="137"/>
      <c r="L52" s="137"/>
      <c r="M52" s="137"/>
      <c r="N52" s="137"/>
      <c r="O52" s="137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57"/>
      <c r="AD52" s="48">
        <f t="shared" si="1"/>
        <v>258964.00000000012</v>
      </c>
      <c r="AE52" s="167">
        <f>(AD52*AE48)/AD48</f>
        <v>0.68664046158090697</v>
      </c>
      <c r="AF52" s="50"/>
      <c r="AG52" s="96">
        <f>'[1]10.1공장보도표'!$X$57</f>
        <v>158964.00000000012</v>
      </c>
      <c r="AH52" s="113">
        <f>'[1]10.1공장보도표'!$Y$57</f>
        <v>0.901454699144557</v>
      </c>
      <c r="AI52" s="53">
        <f>'[1]12.2공장보도표'!$R$57</f>
        <v>100000</v>
      </c>
      <c r="AJ52" s="114">
        <f>'[1]12.2공장보도표'!$S$57</f>
        <v>0.49345050160812465</v>
      </c>
    </row>
    <row r="53" spans="1:36">
      <c r="A53" s="98"/>
      <c r="B53" s="139"/>
      <c r="C53" s="168" t="s">
        <v>70</v>
      </c>
      <c r="D53" s="145">
        <f>'[1]10.1공장보도표'!$D$58</f>
        <v>929753.99999999744</v>
      </c>
      <c r="E53" s="141"/>
      <c r="F53" s="141">
        <f>SUM(F49:F52)</f>
        <v>517816.99999999977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4"/>
      <c r="AD53" s="145">
        <f t="shared" si="1"/>
        <v>1447570.9999999972</v>
      </c>
      <c r="AE53" s="146">
        <f>SUM(AE49:AE52)</f>
        <v>3.8382200599740992</v>
      </c>
      <c r="AF53" s="50"/>
      <c r="AG53" s="101">
        <f>SUM(AG49:AG52)</f>
        <v>929753.99999999744</v>
      </c>
      <c r="AH53" s="147">
        <f>SUM(AH49:AH52)</f>
        <v>5.2724586217536382</v>
      </c>
      <c r="AI53" s="102">
        <f>SUM(AI49:AI52)</f>
        <v>517816.99999999977</v>
      </c>
      <c r="AJ53" s="148">
        <f>SUM(AJ49:AJ52)</f>
        <v>2.5551705839121417</v>
      </c>
    </row>
    <row r="54" spans="1:36">
      <c r="A54" s="98"/>
      <c r="B54" s="169" t="s">
        <v>71</v>
      </c>
      <c r="C54" s="170" t="s">
        <v>72</v>
      </c>
      <c r="D54" s="171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4"/>
      <c r="AD54" s="175">
        <f>AD53+AD48</f>
        <v>41349057.550687037</v>
      </c>
      <c r="AE54" s="176">
        <f>AE48+AE53</f>
        <v>109.63661343869889</v>
      </c>
      <c r="AF54" s="177"/>
      <c r="AG54" s="175">
        <f>AG48+AG53</f>
        <v>19588423.750687044</v>
      </c>
      <c r="AH54" s="178">
        <f>AH48+AH53</f>
        <v>111.08223647424366</v>
      </c>
      <c r="AI54" s="179">
        <f>AI48+AI53</f>
        <v>21760633.799999986</v>
      </c>
      <c r="AJ54" s="180">
        <f>AJ48+AJ53</f>
        <v>107.90424848347266</v>
      </c>
    </row>
    <row r="55" spans="1:36">
      <c r="A55" s="149"/>
      <c r="B55" s="181" t="s">
        <v>73</v>
      </c>
      <c r="C55" s="182" t="s">
        <v>74</v>
      </c>
      <c r="D55" s="152">
        <f>'[1]10.1공장보도표'!$D$59</f>
        <v>5800</v>
      </c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6"/>
      <c r="Q55" s="155"/>
      <c r="R55" s="156"/>
      <c r="S55" s="155"/>
      <c r="T55" s="156"/>
      <c r="U55" s="155"/>
      <c r="V55" s="156"/>
      <c r="W55" s="155"/>
      <c r="X55" s="156"/>
      <c r="Y55" s="155"/>
      <c r="Z55" s="156"/>
      <c r="AA55" s="155"/>
      <c r="AB55" s="156"/>
      <c r="AC55" s="157"/>
      <c r="AD55" s="183">
        <f t="shared" si="1"/>
        <v>5800</v>
      </c>
      <c r="AE55" s="184"/>
      <c r="AF55" s="50"/>
      <c r="AG55" s="159">
        <f>'[1]10.1공장보도표'!X59</f>
        <v>5800</v>
      </c>
      <c r="AH55" s="160"/>
      <c r="AI55" s="161"/>
      <c r="AJ55" s="162"/>
    </row>
    <row r="56" spans="1:36">
      <c r="A56" s="149"/>
      <c r="B56" s="166"/>
      <c r="C56" s="185" t="s">
        <v>75</v>
      </c>
      <c r="D56" s="159"/>
      <c r="E56" s="186"/>
      <c r="F56" s="186">
        <f>'[1]12.2공장보도표'!$D$60</f>
        <v>100900</v>
      </c>
      <c r="G56" s="186"/>
      <c r="H56" s="186"/>
      <c r="I56" s="186"/>
      <c r="J56" s="186"/>
      <c r="K56" s="186"/>
      <c r="L56" s="186"/>
      <c r="M56" s="186"/>
      <c r="N56" s="186"/>
      <c r="O56" s="186"/>
      <c r="P56" s="187"/>
      <c r="Q56" s="188"/>
      <c r="R56" s="187"/>
      <c r="S56" s="188"/>
      <c r="T56" s="187"/>
      <c r="U56" s="188"/>
      <c r="V56" s="187"/>
      <c r="W56" s="188"/>
      <c r="X56" s="187"/>
      <c r="Y56" s="188"/>
      <c r="Z56" s="187"/>
      <c r="AA56" s="188"/>
      <c r="AB56" s="187"/>
      <c r="AC56" s="189"/>
      <c r="AD56" s="159">
        <f t="shared" si="1"/>
        <v>100900</v>
      </c>
      <c r="AE56" s="190"/>
      <c r="AF56" s="50"/>
      <c r="AG56" s="159"/>
      <c r="AH56" s="160"/>
      <c r="AI56" s="161">
        <f>'[1]12.2공장보도표'!$R$60</f>
        <v>100900</v>
      </c>
      <c r="AJ56" s="162"/>
    </row>
    <row r="57" spans="1:36">
      <c r="A57" s="98"/>
      <c r="B57" s="191"/>
      <c r="C57" s="192" t="s">
        <v>76</v>
      </c>
      <c r="D57" s="73">
        <f>'[1]10.1공장보도표'!$D$59</f>
        <v>5800</v>
      </c>
      <c r="E57" s="193"/>
      <c r="F57" s="193">
        <f>F55+F56</f>
        <v>100900</v>
      </c>
      <c r="G57" s="193"/>
      <c r="H57" s="193"/>
      <c r="I57" s="193"/>
      <c r="J57" s="193"/>
      <c r="K57" s="193"/>
      <c r="L57" s="193"/>
      <c r="M57" s="193"/>
      <c r="N57" s="193"/>
      <c r="O57" s="193"/>
      <c r="P57" s="71"/>
      <c r="Q57" s="70"/>
      <c r="R57" s="71"/>
      <c r="S57" s="70"/>
      <c r="T57" s="71"/>
      <c r="U57" s="70"/>
      <c r="V57" s="71"/>
      <c r="W57" s="70"/>
      <c r="X57" s="71"/>
      <c r="Y57" s="70"/>
      <c r="Z57" s="71"/>
      <c r="AA57" s="70"/>
      <c r="AB57" s="71"/>
      <c r="AC57" s="72"/>
      <c r="AD57" s="73">
        <f t="shared" si="1"/>
        <v>106700</v>
      </c>
      <c r="AE57" s="194"/>
      <c r="AF57" s="50"/>
      <c r="AG57" s="73">
        <f>SUM(AG55:AG56)</f>
        <v>5800</v>
      </c>
      <c r="AH57" s="160"/>
      <c r="AI57" s="195">
        <f>SUM(AI55:AI56)</f>
        <v>100900</v>
      </c>
      <c r="AJ57" s="196"/>
    </row>
    <row r="58" spans="1:36">
      <c r="A58" s="1"/>
      <c r="B58" s="197" t="s">
        <v>77</v>
      </c>
      <c r="C58" s="198"/>
      <c r="D58" s="39"/>
      <c r="E58" s="137"/>
      <c r="F58" s="199">
        <f>'[1]12.2공장보도표'!$D$62</f>
        <v>72000</v>
      </c>
      <c r="G58" s="137"/>
      <c r="H58" s="137"/>
      <c r="I58" s="137"/>
      <c r="J58" s="137"/>
      <c r="K58" s="137"/>
      <c r="L58" s="137"/>
      <c r="M58" s="137"/>
      <c r="N58" s="137"/>
      <c r="O58" s="137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95"/>
      <c r="AC58" s="57"/>
      <c r="AD58" s="48">
        <f t="shared" si="1"/>
        <v>72000</v>
      </c>
      <c r="AE58" s="200"/>
      <c r="AF58" s="50"/>
      <c r="AG58" s="96"/>
      <c r="AH58" s="201"/>
      <c r="AI58" s="53">
        <f>'[1]12.2공장보도표'!$R$62</f>
        <v>72000</v>
      </c>
      <c r="AJ58" s="202"/>
    </row>
    <row r="59" spans="1:36">
      <c r="A59" s="98"/>
      <c r="B59" s="203" t="s">
        <v>78</v>
      </c>
      <c r="C59" s="204"/>
      <c r="D59" s="205">
        <f>D57+D53+D48</f>
        <v>1797811.8025065034</v>
      </c>
      <c r="E59" s="206"/>
      <c r="F59" s="206">
        <f>F48+F53+F57+F58</f>
        <v>1351533.8446304626</v>
      </c>
      <c r="G59" s="206"/>
      <c r="H59" s="206">
        <f>H48</f>
        <v>5907692.7097480921</v>
      </c>
      <c r="I59" s="206"/>
      <c r="J59" s="206">
        <f>J48</f>
        <v>643226.59537455882</v>
      </c>
      <c r="K59" s="206"/>
      <c r="L59" s="206">
        <f>L48</f>
        <v>4120454.5458293837</v>
      </c>
      <c r="M59" s="206"/>
      <c r="N59" s="206">
        <f>N48</f>
        <v>10577661.806522679</v>
      </c>
      <c r="O59" s="206"/>
      <c r="P59" s="207">
        <f>P48</f>
        <v>5756001.0138524957</v>
      </c>
      <c r="Q59" s="208"/>
      <c r="R59" s="207">
        <f>R48</f>
        <v>4491632.3982203286</v>
      </c>
      <c r="S59" s="207"/>
      <c r="T59" s="207">
        <f>T48</f>
        <v>2033373.5980714662</v>
      </c>
      <c r="U59" s="207"/>
      <c r="V59" s="207">
        <f>V48</f>
        <v>2047703.6359310702</v>
      </c>
      <c r="W59" s="207"/>
      <c r="X59" s="207">
        <f>X48</f>
        <v>2772.0131829162192</v>
      </c>
      <c r="Y59" s="207"/>
      <c r="Z59" s="207">
        <f>Z48</f>
        <v>1197264.7952154367</v>
      </c>
      <c r="AA59" s="207"/>
      <c r="AB59" s="207">
        <f>AB48</f>
        <v>1600628.7916016374</v>
      </c>
      <c r="AC59" s="209"/>
      <c r="AD59" s="210">
        <f>AB59+Z59+X59+V59+T59+R59+P59+N59+L59+J59+H59+F59+D59</f>
        <v>41527757.550687037</v>
      </c>
      <c r="AE59" s="211"/>
      <c r="AF59" s="50"/>
      <c r="AG59" s="205">
        <f>AG57+AG53+AG48</f>
        <v>19594223.750687044</v>
      </c>
      <c r="AH59" s="212"/>
      <c r="AI59" s="213">
        <f>AI58+AI57+AI53+AI48</f>
        <v>21933533.799999986</v>
      </c>
      <c r="AJ59" s="214"/>
    </row>
    <row r="60" spans="1:36">
      <c r="A60" s="1"/>
      <c r="B60" s="7"/>
      <c r="C60" s="7"/>
      <c r="D60" s="215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217"/>
      <c r="AD60" s="215"/>
      <c r="AE60" s="217"/>
      <c r="AF60" s="7"/>
      <c r="AG60" s="215"/>
      <c r="AH60" s="1"/>
      <c r="AI60" s="218"/>
      <c r="AJ60" s="1"/>
    </row>
    <row r="61" spans="1:36">
      <c r="A61" s="1"/>
      <c r="B61" s="219" t="s">
        <v>79</v>
      </c>
      <c r="C61" s="220"/>
      <c r="D61" s="221" t="s">
        <v>80</v>
      </c>
      <c r="E61" s="222"/>
      <c r="F61" s="223" t="s">
        <v>81</v>
      </c>
      <c r="G61" s="222"/>
      <c r="H61" s="223" t="s">
        <v>82</v>
      </c>
      <c r="I61" s="222"/>
      <c r="J61" s="223" t="s">
        <v>83</v>
      </c>
      <c r="K61" s="222"/>
      <c r="L61" s="223" t="s">
        <v>84</v>
      </c>
      <c r="M61" s="222"/>
      <c r="N61" s="223" t="s">
        <v>85</v>
      </c>
      <c r="O61" s="222"/>
      <c r="P61" s="223" t="s">
        <v>86</v>
      </c>
      <c r="Q61" s="222"/>
      <c r="R61" s="223" t="s">
        <v>87</v>
      </c>
      <c r="S61" s="222"/>
      <c r="T61" s="224" t="s">
        <v>88</v>
      </c>
      <c r="U61" s="225"/>
      <c r="V61" s="226"/>
      <c r="W61" s="227"/>
      <c r="X61" s="227"/>
      <c r="Y61" s="227"/>
      <c r="Z61" s="227"/>
      <c r="AA61" s="227"/>
      <c r="AB61" s="228"/>
      <c r="AC61" s="215"/>
      <c r="AD61" s="221" t="s">
        <v>79</v>
      </c>
      <c r="AE61" s="229"/>
      <c r="AF61" s="215"/>
      <c r="AG61" s="230" t="s">
        <v>89</v>
      </c>
      <c r="AH61" s="225"/>
      <c r="AI61" s="224" t="s">
        <v>90</v>
      </c>
      <c r="AJ61" s="231"/>
    </row>
    <row r="62" spans="1:36">
      <c r="A62" s="1"/>
      <c r="B62" s="232" t="s">
        <v>17</v>
      </c>
      <c r="C62" s="233"/>
      <c r="D62" s="234">
        <f>'[1]1.단독계량'!C35</f>
        <v>2709816127.4999962</v>
      </c>
      <c r="E62" s="235"/>
      <c r="F62" s="236">
        <f>'[1]1.단독계량'!G22</f>
        <v>707354968</v>
      </c>
      <c r="G62" s="235"/>
      <c r="H62" s="236">
        <f>'[1]1.단독계량'!E35</f>
        <v>126435330</v>
      </c>
      <c r="I62" s="235"/>
      <c r="J62" s="236">
        <v>0</v>
      </c>
      <c r="K62" s="235"/>
      <c r="L62" s="237">
        <f>'[1]1.단독계량'!C35+'[1]1.단독계량'!D35+'[1]1.단독계량'!E35-'[1]1.단독계량'!G23</f>
        <v>3543606425.4999962</v>
      </c>
      <c r="M62" s="238"/>
      <c r="N62" s="239">
        <f>'[1]1.단독계량'!F35</f>
        <v>343388027</v>
      </c>
      <c r="O62" s="240"/>
      <c r="P62" s="236">
        <f>ROUNDDOWN(L62+N62,-1)</f>
        <v>3886994450</v>
      </c>
      <c r="Q62" s="235"/>
      <c r="R62" s="241">
        <v>0</v>
      </c>
      <c r="S62" s="242"/>
      <c r="T62" s="243"/>
      <c r="U62" s="244"/>
      <c r="V62" s="245"/>
      <c r="W62" s="215"/>
      <c r="X62" s="215"/>
      <c r="Y62" s="215"/>
      <c r="Z62" s="215"/>
      <c r="AA62" s="215"/>
      <c r="AB62" s="246"/>
      <c r="AC62" s="247"/>
      <c r="AD62" s="232" t="s">
        <v>17</v>
      </c>
      <c r="AE62" s="233"/>
      <c r="AF62" s="215"/>
      <c r="AG62" s="248">
        <v>10535.000222465815</v>
      </c>
      <c r="AH62" s="249"/>
      <c r="AI62" s="250">
        <v>99.858107872514523</v>
      </c>
      <c r="AJ62" s="251"/>
    </row>
    <row r="63" spans="1:36">
      <c r="A63" s="1"/>
      <c r="B63" s="252" t="s">
        <v>18</v>
      </c>
      <c r="C63" s="253"/>
      <c r="D63" s="254">
        <f>'[1]1.단독계량'!H35</f>
        <v>3443637568</v>
      </c>
      <c r="E63" s="255"/>
      <c r="F63" s="256">
        <f>'[1]1.단독계량'!L22</f>
        <v>375167520</v>
      </c>
      <c r="G63" s="255"/>
      <c r="H63" s="256">
        <f>'[1]1.단독계량'!J35</f>
        <v>141295780</v>
      </c>
      <c r="I63" s="255"/>
      <c r="J63" s="256">
        <v>0</v>
      </c>
      <c r="K63" s="255"/>
      <c r="L63" s="257">
        <f>'[1]1.단독계량'!H35+'[1]1.단독계량'!I35+'[1]1.단독계량'!J35-'[1]1.단독계량'!L23</f>
        <v>3960100868</v>
      </c>
      <c r="M63" s="258"/>
      <c r="N63" s="259">
        <f>'[1]1.단독계량'!K35</f>
        <v>381880509</v>
      </c>
      <c r="O63" s="260"/>
      <c r="P63" s="257">
        <f>ROUNDDOWN(L63+N63,-1)</f>
        <v>4341981370</v>
      </c>
      <c r="Q63" s="258"/>
      <c r="R63" s="261">
        <v>0</v>
      </c>
      <c r="S63" s="262"/>
      <c r="T63" s="263"/>
      <c r="U63" s="244"/>
      <c r="V63" s="245"/>
      <c r="W63" s="215"/>
      <c r="X63" s="215"/>
      <c r="Y63" s="215"/>
      <c r="Z63" s="215"/>
      <c r="AA63" s="215"/>
      <c r="AB63" s="246"/>
      <c r="AC63" s="247"/>
      <c r="AD63" s="252" t="s">
        <v>18</v>
      </c>
      <c r="AE63" s="253"/>
      <c r="AF63" s="215"/>
      <c r="AG63" s="264">
        <v>8539.1220914099758</v>
      </c>
      <c r="AH63" s="265"/>
      <c r="AI63" s="266">
        <v>69.957673955421399</v>
      </c>
      <c r="AJ63" s="267"/>
    </row>
    <row r="64" spans="1:36">
      <c r="A64" s="1"/>
      <c r="B64" s="268" t="s">
        <v>91</v>
      </c>
      <c r="C64" s="269"/>
      <c r="D64" s="270">
        <f>'[1]2-3.합성계량'!C31</f>
        <v>6728784800</v>
      </c>
      <c r="E64" s="271"/>
      <c r="F64" s="272">
        <f>'[1]2-3.합성계량'!D31</f>
        <v>750079348</v>
      </c>
      <c r="G64" s="271"/>
      <c r="H64" s="272">
        <f>'[1]2-3.합성계량'!E31</f>
        <v>201929330</v>
      </c>
      <c r="I64" s="271"/>
      <c r="J64" s="272">
        <f>'[1]8.Factor산출'!F53</f>
        <v>158258407</v>
      </c>
      <c r="K64" s="271"/>
      <c r="L64" s="272">
        <f>D64+F64+H64-J64</f>
        <v>7522535071</v>
      </c>
      <c r="M64" s="271"/>
      <c r="N64" s="272">
        <f>'[1]2-3.합성계량'!F31</f>
        <v>747886415</v>
      </c>
      <c r="O64" s="271"/>
      <c r="P64" s="272">
        <f>ROUNDDOWN(L64+N64,-1)</f>
        <v>8270421480</v>
      </c>
      <c r="Q64" s="271"/>
      <c r="R64" s="272">
        <f>MAX('[1]2-3.합성계량'!D19:E19)</f>
        <v>80730</v>
      </c>
      <c r="S64" s="271"/>
      <c r="T64" s="272">
        <f>'[1]2-3.합성계량'!G15</f>
        <v>90678</v>
      </c>
      <c r="U64" s="271"/>
      <c r="V64" s="273"/>
      <c r="W64" s="274"/>
      <c r="X64" s="274"/>
      <c r="Y64" s="274"/>
      <c r="Z64" s="274"/>
      <c r="AA64" s="274"/>
      <c r="AB64" s="275"/>
      <c r="AC64" s="247"/>
      <c r="AD64" s="276" t="s">
        <v>92</v>
      </c>
      <c r="AE64" s="277"/>
      <c r="AF64" s="215"/>
      <c r="AG64" s="278">
        <f>AE54*AI64</f>
        <v>19860.0964343339</v>
      </c>
      <c r="AH64" s="279"/>
      <c r="AI64" s="280">
        <f>(L64)/AD59</f>
        <v>181.14474545894538</v>
      </c>
      <c r="AJ64" s="281"/>
    </row>
    <row r="65" spans="1:36">
      <c r="A65" s="1"/>
      <c r="B65" s="219" t="s">
        <v>93</v>
      </c>
      <c r="C65" s="220"/>
      <c r="D65" s="282">
        <f>'[1]2-3.합성계량'!G19</f>
        <v>0</v>
      </c>
      <c r="E65" s="283"/>
      <c r="F65" s="284" t="s">
        <v>94</v>
      </c>
      <c r="G65" s="284"/>
      <c r="H65" s="285">
        <f>+ROUNDDOWN(D64*0.037,-1)</f>
        <v>248965030</v>
      </c>
      <c r="I65" s="285"/>
      <c r="J65" s="1"/>
      <c r="K65" s="1"/>
      <c r="L65" s="221" t="s">
        <v>84</v>
      </c>
      <c r="M65" s="229"/>
      <c r="N65" s="1" t="s">
        <v>84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76" t="s">
        <v>95</v>
      </c>
      <c r="AE65" s="277"/>
      <c r="AF65" s="1"/>
      <c r="AG65" s="286">
        <f>+AG64-AG66</f>
        <v>2053.5396518615453</v>
      </c>
      <c r="AH65" s="287"/>
      <c r="AI65" s="288">
        <f>+AI64-AI66</f>
        <v>18.730418492994971</v>
      </c>
      <c r="AJ65" s="289"/>
    </row>
    <row r="66" spans="1:36">
      <c r="A66" s="1"/>
      <c r="B66" s="1"/>
      <c r="C66" s="1"/>
      <c r="D66" s="1"/>
      <c r="E66" s="1"/>
      <c r="F66" s="284" t="s">
        <v>96</v>
      </c>
      <c r="G66" s="284"/>
      <c r="H66" s="290">
        <f>+ROUNDDOWN(F64*0.037,-1)</f>
        <v>27752930</v>
      </c>
      <c r="I66" s="290"/>
      <c r="J66" s="1"/>
      <c r="K66" s="1"/>
      <c r="L66" s="282">
        <f>L64-F64-H66</f>
        <v>6744702793</v>
      </c>
      <c r="M66" s="291"/>
      <c r="N66" s="292">
        <v>5355594528</v>
      </c>
      <c r="O66" s="1"/>
      <c r="P66" s="1" t="s">
        <v>97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76" t="s">
        <v>98</v>
      </c>
      <c r="AE66" s="277"/>
      <c r="AF66" s="1"/>
      <c r="AG66" s="286">
        <f>+AI66*AE54</f>
        <v>17806.556782472355</v>
      </c>
      <c r="AH66" s="287"/>
      <c r="AI66" s="288">
        <f>(L66)/AD59</f>
        <v>162.41432696595041</v>
      </c>
      <c r="AJ66" s="289"/>
    </row>
    <row r="67" spans="1:3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7.2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>
      <c r="A69" s="1"/>
      <c r="B69" s="9"/>
      <c r="C69" s="9"/>
      <c r="D69" s="9"/>
      <c r="E69" s="9"/>
      <c r="F69" s="293"/>
      <c r="G69" s="293"/>
      <c r="H69" s="293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294" t="s">
        <v>99</v>
      </c>
      <c r="AH69" s="295">
        <f>'[1]2-3.합성계량'!G8</f>
        <v>41095079</v>
      </c>
      <c r="AI69" s="296"/>
      <c r="AJ69" s="9"/>
    </row>
    <row r="70" spans="1:36">
      <c r="A70" s="1"/>
      <c r="B70" s="9"/>
      <c r="C70" s="9"/>
      <c r="D70" s="9"/>
      <c r="E70" s="9"/>
      <c r="F70" s="293"/>
      <c r="G70" s="293"/>
      <c r="H70" s="293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297" t="s">
        <v>100</v>
      </c>
      <c r="AH70" s="298">
        <f>AD59</f>
        <v>41527757.550687037</v>
      </c>
      <c r="AI70" s="296"/>
      <c r="AJ70" s="9"/>
    </row>
    <row r="71" spans="1:36">
      <c r="A71" s="1"/>
      <c r="B71" s="9"/>
      <c r="C71" s="9"/>
      <c r="D71" s="9"/>
      <c r="E71" s="9"/>
      <c r="F71" s="293"/>
      <c r="G71" s="293"/>
      <c r="H71" s="293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299" t="s">
        <v>101</v>
      </c>
      <c r="AH71" s="300">
        <f>'[1]12.2공장보도표'!D75+'[1]10.1공장보도표'!D75</f>
        <v>1263629</v>
      </c>
      <c r="AI71" s="296"/>
      <c r="AJ71" s="9"/>
    </row>
    <row r="72" spans="1:36" ht="17.25" thickBot="1">
      <c r="A72" s="1"/>
      <c r="B72" s="9"/>
      <c r="C72" s="9"/>
      <c r="D72" s="9"/>
      <c r="E72" s="9"/>
      <c r="F72" s="293"/>
      <c r="G72" s="293"/>
      <c r="H72" s="293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301" t="s">
        <v>102</v>
      </c>
      <c r="AH72" s="302">
        <f>-'[1]9.1공장 검침'!F409</f>
        <v>-1624308</v>
      </c>
      <c r="AI72" s="296"/>
      <c r="AJ72" s="9"/>
    </row>
    <row r="73" spans="1:36" ht="18" thickTop="1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303" t="s">
        <v>103</v>
      </c>
      <c r="AH73" s="304">
        <f>AH71+AH70+AH72</f>
        <v>41167078.550687037</v>
      </c>
      <c r="AI73" s="305" t="s">
        <v>104</v>
      </c>
      <c r="AJ73" s="1"/>
    </row>
    <row r="74" spans="1:36" ht="18" thickTop="1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306" t="s">
        <v>105</v>
      </c>
      <c r="AH74" s="307">
        <f>AH69-AH73+AI74</f>
        <v>0.4493129625916481</v>
      </c>
      <c r="AI74" s="308">
        <f>AD58</f>
        <v>72000</v>
      </c>
      <c r="AJ74" s="1"/>
    </row>
    <row r="75" spans="1:3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</sheetData>
  <mergeCells count="46">
    <mergeCell ref="H66:I66"/>
    <mergeCell ref="L66:M66"/>
    <mergeCell ref="AG66:AH66"/>
    <mergeCell ref="AI66:AJ66"/>
    <mergeCell ref="F69:H72"/>
    <mergeCell ref="R64:S64"/>
    <mergeCell ref="T64:U64"/>
    <mergeCell ref="AG64:AH64"/>
    <mergeCell ref="AI64:AJ64"/>
    <mergeCell ref="B65:C65"/>
    <mergeCell ref="D65:E65"/>
    <mergeCell ref="H65:I65"/>
    <mergeCell ref="AG65:AH65"/>
    <mergeCell ref="AI65:AJ65"/>
    <mergeCell ref="AG63:AH63"/>
    <mergeCell ref="AI63:AJ63"/>
    <mergeCell ref="B64:C64"/>
    <mergeCell ref="D64:E64"/>
    <mergeCell ref="F64:G64"/>
    <mergeCell ref="H64:I64"/>
    <mergeCell ref="J64:K64"/>
    <mergeCell ref="L64:M64"/>
    <mergeCell ref="N64:O64"/>
    <mergeCell ref="P64:Q64"/>
    <mergeCell ref="P62:Q62"/>
    <mergeCell ref="AG62:AH62"/>
    <mergeCell ref="AI62:AJ62"/>
    <mergeCell ref="D63:E63"/>
    <mergeCell ref="F63:G63"/>
    <mergeCell ref="H63:I63"/>
    <mergeCell ref="J63:K63"/>
    <mergeCell ref="L63:M63"/>
    <mergeCell ref="N63:O63"/>
    <mergeCell ref="P63:Q63"/>
    <mergeCell ref="D62:E62"/>
    <mergeCell ref="F62:G62"/>
    <mergeCell ref="H62:I62"/>
    <mergeCell ref="J62:K62"/>
    <mergeCell ref="L62:M62"/>
    <mergeCell ref="N62:O62"/>
    <mergeCell ref="A2:B2"/>
    <mergeCell ref="B8:B14"/>
    <mergeCell ref="F8:F14"/>
    <mergeCell ref="B58:C58"/>
    <mergeCell ref="B59:C59"/>
    <mergeCell ref="B61:C61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ED0D-3909-4130-8C2D-5D4ECE35BB4D}">
  <dimension ref="A1:Q44"/>
  <sheetViews>
    <sheetView tabSelected="1" workbookViewId="0">
      <selection sqref="A1:Q44"/>
    </sheetView>
  </sheetViews>
  <sheetFormatPr defaultRowHeight="16.5"/>
  <cols>
    <col min="5" max="5" width="13" bestFit="1" customWidth="1"/>
  </cols>
  <sheetData>
    <row r="1" spans="1:17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</row>
    <row r="2" spans="1:17" ht="25.5">
      <c r="A2" s="309"/>
      <c r="B2" s="310" t="s">
        <v>106</v>
      </c>
      <c r="C2" s="310"/>
      <c r="D2" s="310"/>
      <c r="E2" s="310"/>
      <c r="F2" s="310"/>
      <c r="G2" s="310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3" spans="1:17">
      <c r="A3" s="309"/>
      <c r="B3" s="311" t="str">
        <f>'[1]1.단독계량'!B3</f>
        <v>⊙ 적용일 : 2026.7.1 ~ 7.31</v>
      </c>
      <c r="C3" s="312"/>
      <c r="D3" s="313"/>
      <c r="E3" s="313"/>
      <c r="F3" s="313"/>
      <c r="G3" s="313"/>
      <c r="H3" s="309"/>
      <c r="I3" s="309"/>
      <c r="J3" s="309"/>
      <c r="K3" s="309"/>
      <c r="L3" s="309"/>
      <c r="M3" s="309"/>
      <c r="N3" s="309"/>
      <c r="O3" s="309"/>
      <c r="P3" s="309"/>
      <c r="Q3" s="309"/>
    </row>
    <row r="4" spans="1:17">
      <c r="A4" s="309"/>
      <c r="B4" s="314"/>
      <c r="C4" s="315" t="s">
        <v>107</v>
      </c>
      <c r="D4" s="316"/>
      <c r="E4" s="316"/>
      <c r="F4" s="316"/>
      <c r="G4" s="317"/>
      <c r="H4" s="309"/>
      <c r="I4" s="309"/>
      <c r="J4" s="309"/>
      <c r="K4" s="309"/>
      <c r="L4" s="309"/>
      <c r="M4" s="309"/>
      <c r="N4" s="309"/>
      <c r="O4" s="309"/>
      <c r="P4" s="309"/>
      <c r="Q4" s="309"/>
    </row>
    <row r="5" spans="1:17">
      <c r="A5" s="309"/>
      <c r="B5" s="318" t="s">
        <v>108</v>
      </c>
      <c r="C5" s="319"/>
      <c r="D5" s="320" t="s">
        <v>109</v>
      </c>
      <c r="E5" s="320" t="s">
        <v>110</v>
      </c>
      <c r="F5" s="320" t="s">
        <v>111</v>
      </c>
      <c r="G5" s="321" t="s">
        <v>112</v>
      </c>
      <c r="H5" s="309"/>
      <c r="I5" s="309"/>
      <c r="J5" s="309"/>
      <c r="K5" s="309"/>
      <c r="L5" s="309"/>
      <c r="M5" s="309"/>
      <c r="N5" s="309"/>
      <c r="O5" s="309"/>
      <c r="P5" s="309"/>
      <c r="Q5" s="309"/>
    </row>
    <row r="6" spans="1:17">
      <c r="A6" s="309"/>
      <c r="B6" s="318"/>
      <c r="C6" s="319" t="s">
        <v>113</v>
      </c>
      <c r="D6" s="322">
        <f>'[1]1.단독계량'!$D$14</f>
        <v>5069136.9999999721</v>
      </c>
      <c r="E6" s="322">
        <f>'[1]1.단독계량'!$E$14</f>
        <v>1179016.9999999909</v>
      </c>
      <c r="F6" s="322">
        <f>'[1]1.단독계량'!$F$14</f>
        <v>12685485.000000024</v>
      </c>
      <c r="G6" s="323">
        <f>SUM(D6:F6)</f>
        <v>18933638.999999985</v>
      </c>
      <c r="H6" s="309"/>
      <c r="I6" s="309"/>
      <c r="J6" s="309"/>
      <c r="K6" s="309"/>
      <c r="L6" s="309"/>
      <c r="M6" s="309"/>
      <c r="N6" s="309"/>
      <c r="O6" s="309"/>
      <c r="P6" s="309"/>
      <c r="Q6" s="309"/>
    </row>
    <row r="7" spans="1:17">
      <c r="A7" s="309"/>
      <c r="B7" s="318"/>
      <c r="C7" s="319" t="s">
        <v>114</v>
      </c>
      <c r="D7" s="322">
        <f>'[1]1.단독계량'!I14</f>
        <v>6142079.9999999655</v>
      </c>
      <c r="E7" s="322">
        <f>'[1]1.단독계량'!J14</f>
        <v>3333119.9999999991</v>
      </c>
      <c r="F7" s="322">
        <f>'[1]1.단독계량'!K14</f>
        <v>12686240.000000048</v>
      </c>
      <c r="G7" s="323">
        <f>SUM(D7:F7)</f>
        <v>22161440.000000015</v>
      </c>
      <c r="H7" s="309"/>
      <c r="I7" s="324" t="s">
        <v>115</v>
      </c>
      <c r="J7" s="309"/>
      <c r="K7" s="309"/>
      <c r="L7" s="309"/>
      <c r="M7" s="309"/>
      <c r="N7" s="309"/>
      <c r="O7" s="309"/>
      <c r="P7" s="309"/>
      <c r="Q7" s="309"/>
    </row>
    <row r="8" spans="1:17">
      <c r="A8" s="309"/>
      <c r="B8" s="318"/>
      <c r="C8" s="319" t="s">
        <v>116</v>
      </c>
      <c r="D8" s="322">
        <f>SUM(D6:D7)</f>
        <v>11211216.999999937</v>
      </c>
      <c r="E8" s="322">
        <f>SUM(E6:E7)</f>
        <v>4512136.9999999898</v>
      </c>
      <c r="F8" s="322">
        <f>SUM(F6:F7)</f>
        <v>25371725.000000075</v>
      </c>
      <c r="G8" s="323">
        <f>SUM(D8:F8)</f>
        <v>41095079</v>
      </c>
      <c r="H8" s="309"/>
      <c r="I8" s="325" t="s">
        <v>117</v>
      </c>
      <c r="J8" s="309"/>
      <c r="K8" s="309"/>
      <c r="L8" s="309"/>
      <c r="M8" s="309"/>
      <c r="N8" s="309"/>
      <c r="O8" s="309"/>
      <c r="P8" s="309"/>
      <c r="Q8" s="309"/>
    </row>
    <row r="9" spans="1:17">
      <c r="A9" s="309"/>
      <c r="B9" s="318"/>
      <c r="C9" s="319" t="s">
        <v>118</v>
      </c>
      <c r="D9" s="326">
        <f>'[1]1.단독계량'!D15</f>
        <v>173.1</v>
      </c>
      <c r="E9" s="326">
        <f>'[1]1.단독계량'!E15</f>
        <v>254.4</v>
      </c>
      <c r="F9" s="326">
        <f>'[1]1.단독계량'!F15</f>
        <v>120.80000000000001</v>
      </c>
      <c r="G9" s="327"/>
      <c r="H9" s="309"/>
      <c r="I9" s="309"/>
      <c r="J9" s="309"/>
      <c r="K9" s="309"/>
      <c r="L9" s="309"/>
      <c r="M9" s="309"/>
      <c r="N9" s="309"/>
      <c r="O9" s="309"/>
      <c r="P9" s="309"/>
      <c r="Q9" s="309"/>
    </row>
    <row r="10" spans="1:17">
      <c r="A10" s="309"/>
      <c r="B10" s="328"/>
      <c r="C10" s="329" t="s">
        <v>119</v>
      </c>
      <c r="D10" s="330">
        <f>ROUNDDOWN(D9*D8,0)</f>
        <v>1940661662</v>
      </c>
      <c r="E10" s="330">
        <f>ROUNDDOWN(E9*E8,0)</f>
        <v>1147887652</v>
      </c>
      <c r="F10" s="330">
        <f>ROUNDDOWN(F9*F8,0)</f>
        <v>3064904380</v>
      </c>
      <c r="G10" s="331">
        <f>SUM(D10:F10)</f>
        <v>6153453694</v>
      </c>
      <c r="H10" s="309"/>
      <c r="I10" s="309"/>
      <c r="J10" s="309"/>
      <c r="K10" s="309"/>
      <c r="L10" s="309"/>
      <c r="M10" s="309"/>
      <c r="N10" s="309"/>
      <c r="O10" s="309"/>
      <c r="P10" s="309"/>
      <c r="Q10" s="309"/>
    </row>
    <row r="11" spans="1:17" ht="24">
      <c r="A11" s="309"/>
      <c r="B11" s="332" t="s">
        <v>120</v>
      </c>
      <c r="C11" s="333"/>
      <c r="D11" s="334"/>
      <c r="E11" s="334"/>
      <c r="F11" s="334"/>
      <c r="G11" s="335">
        <f>(9*G8)</f>
        <v>369855711</v>
      </c>
      <c r="H11" s="309"/>
      <c r="I11" s="309"/>
      <c r="J11" s="309"/>
      <c r="K11" s="309"/>
      <c r="L11" s="309"/>
      <c r="M11" s="309"/>
      <c r="N11" s="309"/>
      <c r="O11" s="309"/>
      <c r="P11" s="309"/>
      <c r="Q11" s="309"/>
    </row>
    <row r="12" spans="1:17" ht="24">
      <c r="A12" s="309"/>
      <c r="B12" s="332" t="s">
        <v>121</v>
      </c>
      <c r="C12" s="333"/>
      <c r="D12" s="334"/>
      <c r="E12" s="334"/>
      <c r="F12" s="334"/>
      <c r="G12" s="335">
        <f>(5*G8)</f>
        <v>205475395</v>
      </c>
      <c r="H12" s="309"/>
      <c r="I12" s="309"/>
      <c r="J12" s="309"/>
      <c r="K12" s="309"/>
      <c r="L12" s="309"/>
      <c r="M12" s="309"/>
      <c r="N12" s="309"/>
      <c r="O12" s="309"/>
      <c r="P12" s="309"/>
      <c r="Q12" s="309"/>
    </row>
    <row r="13" spans="1:17">
      <c r="A13" s="309"/>
      <c r="B13" s="336" t="s">
        <v>122</v>
      </c>
      <c r="C13" s="333"/>
      <c r="D13" s="334"/>
      <c r="E13" s="334"/>
      <c r="F13" s="334"/>
      <c r="G13" s="335"/>
      <c r="H13" s="309"/>
      <c r="I13" s="309"/>
      <c r="J13" s="309"/>
      <c r="K13" s="309"/>
      <c r="L13" s="309" t="s">
        <v>123</v>
      </c>
      <c r="M13" s="309"/>
      <c r="N13" s="309"/>
      <c r="O13" s="309"/>
      <c r="P13" s="309"/>
      <c r="Q13" s="309"/>
    </row>
    <row r="14" spans="1:17">
      <c r="A14" s="309"/>
      <c r="B14" s="337" t="s">
        <v>124</v>
      </c>
      <c r="C14" s="338"/>
      <c r="D14" s="339" t="s">
        <v>125</v>
      </c>
      <c r="E14" s="339" t="s">
        <v>110</v>
      </c>
      <c r="F14" s="340" t="s">
        <v>126</v>
      </c>
      <c r="G14" s="317"/>
      <c r="H14" s="309"/>
      <c r="I14" s="309"/>
      <c r="J14" s="309"/>
      <c r="K14" s="309"/>
      <c r="L14" s="341" t="s">
        <v>127</v>
      </c>
      <c r="M14" s="342">
        <v>99187</v>
      </c>
      <c r="N14" s="309"/>
      <c r="O14" s="309"/>
      <c r="P14" s="309"/>
      <c r="Q14" s="309"/>
    </row>
    <row r="15" spans="1:17">
      <c r="A15" s="309"/>
      <c r="B15" s="343"/>
      <c r="C15" s="319" t="s">
        <v>128</v>
      </c>
      <c r="D15" s="344">
        <f>'[1]1.단독계량'!D22</f>
        <v>3771768</v>
      </c>
      <c r="E15" s="344">
        <f>'[1]1.단독계량'!E22</f>
        <v>2836008</v>
      </c>
      <c r="F15" s="345" t="s">
        <v>129</v>
      </c>
      <c r="G15" s="346">
        <v>90678</v>
      </c>
      <c r="H15" s="309"/>
      <c r="I15" s="309"/>
      <c r="J15" s="309"/>
      <c r="K15" s="309"/>
      <c r="L15" s="309" t="s">
        <v>130</v>
      </c>
      <c r="M15" s="347">
        <v>116256</v>
      </c>
      <c r="N15" s="309"/>
      <c r="O15" s="309"/>
      <c r="P15" s="309"/>
      <c r="Q15" s="309"/>
    </row>
    <row r="16" spans="1:17">
      <c r="A16" s="309"/>
      <c r="B16" s="343"/>
      <c r="C16" s="319" t="s">
        <v>131</v>
      </c>
      <c r="D16" s="344">
        <f>'[1]1.단독계량'!I22</f>
        <v>2134720</v>
      </c>
      <c r="E16" s="344">
        <f>'[1]1.단독계량'!J22</f>
        <v>1995728.0000000002</v>
      </c>
      <c r="F16" s="320" t="s">
        <v>132</v>
      </c>
      <c r="G16" s="348">
        <f>'[1]1.단독계량'!G19</f>
        <v>8190</v>
      </c>
      <c r="H16" s="349"/>
      <c r="I16" s="309"/>
      <c r="J16" s="309"/>
      <c r="K16" s="309"/>
      <c r="L16" s="309" t="s">
        <v>133</v>
      </c>
      <c r="M16" s="347">
        <v>112179</v>
      </c>
      <c r="N16" s="309"/>
      <c r="O16" s="309"/>
      <c r="P16" s="309"/>
      <c r="Q16" s="309"/>
    </row>
    <row r="17" spans="1:17">
      <c r="A17" s="309"/>
      <c r="B17" s="343"/>
      <c r="C17" s="319" t="s">
        <v>134</v>
      </c>
      <c r="D17" s="350">
        <f>'[1]0. DM 검침'!D32</f>
        <v>18376960</v>
      </c>
      <c r="E17" s="350">
        <f>'[1]0. DM 검침'!D33</f>
        <v>16597683</v>
      </c>
      <c r="F17" s="351" t="s">
        <v>135</v>
      </c>
      <c r="G17" s="352">
        <f>((G15*6/31)+(D40*25/31))*G16</f>
        <v>742652820</v>
      </c>
      <c r="H17" s="349"/>
      <c r="I17" s="353"/>
      <c r="J17" s="309"/>
      <c r="K17" s="309"/>
      <c r="L17" s="309" t="s">
        <v>136</v>
      </c>
      <c r="M17" s="347">
        <v>108551</v>
      </c>
      <c r="N17" s="309"/>
      <c r="O17" s="309"/>
      <c r="P17" s="309"/>
      <c r="Q17" s="309"/>
    </row>
    <row r="18" spans="1:17">
      <c r="A18" s="309"/>
      <c r="B18" s="343"/>
      <c r="C18" s="319" t="s">
        <v>137</v>
      </c>
      <c r="D18" s="350">
        <f>'[1]0. DM 검침'!D34</f>
        <v>18296230</v>
      </c>
      <c r="E18" s="350">
        <f>'[1]0. DM 검침'!D35</f>
        <v>16532633</v>
      </c>
      <c r="F18" s="351" t="s">
        <v>138</v>
      </c>
      <c r="G18" s="354">
        <f>ROUNDDOWN(-IF(D26&gt;=97%,G17*(97%-92%)*D37,IF(D26&lt;=60%,G17*(60%-92%)*D37,G17*(D26-92%)*D37)),0)</f>
        <v>7426528</v>
      </c>
      <c r="H18" s="349"/>
      <c r="I18" s="309"/>
      <c r="J18" s="309"/>
      <c r="K18" s="309"/>
      <c r="L18" s="309" t="s">
        <v>139</v>
      </c>
      <c r="M18" s="347">
        <v>120825</v>
      </c>
      <c r="N18" s="309"/>
      <c r="O18" s="309"/>
      <c r="P18" s="309"/>
      <c r="Q18" s="309"/>
    </row>
    <row r="19" spans="1:17">
      <c r="A19" s="309"/>
      <c r="B19" s="343"/>
      <c r="C19" s="355" t="s">
        <v>140</v>
      </c>
      <c r="D19" s="356">
        <f>D17-D18</f>
        <v>80730</v>
      </c>
      <c r="E19" s="356">
        <f>E17-E18</f>
        <v>65050</v>
      </c>
      <c r="F19" s="357" t="s">
        <v>141</v>
      </c>
      <c r="G19" s="358"/>
      <c r="H19" s="309"/>
      <c r="I19" s="309"/>
      <c r="J19" s="309"/>
      <c r="K19" s="309"/>
      <c r="L19" s="341" t="s">
        <v>142</v>
      </c>
      <c r="M19" s="342">
        <v>94842</v>
      </c>
      <c r="N19" s="309"/>
      <c r="O19" s="309"/>
      <c r="P19" s="309"/>
      <c r="Q19" s="309"/>
    </row>
    <row r="20" spans="1:17">
      <c r="A20" s="309"/>
      <c r="B20" s="359"/>
      <c r="C20" s="360"/>
      <c r="D20" s="361"/>
      <c r="E20" s="361"/>
      <c r="F20" s="362" t="s">
        <v>143</v>
      </c>
      <c r="G20" s="363">
        <f>G17+G18+G19</f>
        <v>750079348</v>
      </c>
      <c r="H20" s="309"/>
      <c r="I20" s="309"/>
      <c r="J20" s="309"/>
      <c r="K20" s="309"/>
      <c r="L20" s="341" t="s">
        <v>144</v>
      </c>
      <c r="M20" s="364">
        <v>95917</v>
      </c>
      <c r="N20" s="309"/>
      <c r="O20" s="309"/>
      <c r="P20" s="309"/>
      <c r="Q20" s="309"/>
    </row>
    <row r="21" spans="1:17">
      <c r="A21" s="309"/>
      <c r="B21" s="365" t="s">
        <v>145</v>
      </c>
      <c r="C21" s="338"/>
      <c r="D21" s="339" t="s">
        <v>109</v>
      </c>
      <c r="E21" s="339" t="s">
        <v>110</v>
      </c>
      <c r="F21" s="366" t="s">
        <v>146</v>
      </c>
      <c r="G21" s="367">
        <f>116632426+2750781+38875200</f>
        <v>158258407</v>
      </c>
      <c r="H21" s="309"/>
      <c r="I21" s="309"/>
      <c r="J21" s="309"/>
      <c r="K21" s="309"/>
      <c r="L21" s="341" t="s">
        <v>147</v>
      </c>
      <c r="M21" s="364">
        <v>94841</v>
      </c>
      <c r="N21" s="309"/>
      <c r="O21" s="309"/>
      <c r="P21" s="309"/>
      <c r="Q21" s="309"/>
    </row>
    <row r="22" spans="1:17">
      <c r="A22" s="309"/>
      <c r="B22" s="318"/>
      <c r="C22" s="319" t="s">
        <v>148</v>
      </c>
      <c r="D22" s="344">
        <f>'[1]1.단독계량'!D28</f>
        <v>3013920.0000000093</v>
      </c>
      <c r="E22" s="344">
        <f>'[1]1.단독계량'!E28</f>
        <v>1394399.9999999923</v>
      </c>
      <c r="F22" s="309"/>
      <c r="G22" s="309"/>
      <c r="H22" s="349"/>
      <c r="I22" s="368"/>
      <c r="J22" s="309"/>
      <c r="K22" s="309"/>
      <c r="L22" s="309" t="s">
        <v>149</v>
      </c>
      <c r="M22" s="347">
        <v>122663</v>
      </c>
      <c r="N22" s="309"/>
      <c r="O22" s="309"/>
      <c r="P22" s="309"/>
      <c r="Q22" s="309"/>
    </row>
    <row r="23" spans="1:17">
      <c r="A23" s="309"/>
      <c r="B23" s="318"/>
      <c r="C23" s="319" t="s">
        <v>150</v>
      </c>
      <c r="D23" s="344">
        <f>'[1]1.단독계량'!I28</f>
        <v>3019519.9999999786</v>
      </c>
      <c r="E23" s="344">
        <f>'[1]1.단독계량'!J28</f>
        <v>1646399.9999999923</v>
      </c>
      <c r="F23" s="369" t="s">
        <v>151</v>
      </c>
      <c r="G23" s="370" t="e">
        <f>G8/G19</f>
        <v>#DIV/0!</v>
      </c>
      <c r="H23" s="309"/>
      <c r="I23" s="368"/>
      <c r="J23" s="309"/>
      <c r="K23" s="309"/>
      <c r="L23" s="309"/>
      <c r="M23" s="309"/>
      <c r="N23" s="309"/>
      <c r="O23" s="309"/>
      <c r="P23" s="309"/>
      <c r="Q23" s="309"/>
    </row>
    <row r="24" spans="1:17">
      <c r="A24" s="309"/>
      <c r="B24" s="318"/>
      <c r="C24" s="319" t="s">
        <v>152</v>
      </c>
      <c r="D24" s="344">
        <f>D22+D23</f>
        <v>6033439.9999999879</v>
      </c>
      <c r="E24" s="344">
        <f>E22+E23</f>
        <v>3040799.9999999846</v>
      </c>
      <c r="F24" s="369" t="s">
        <v>153</v>
      </c>
      <c r="G24" s="371">
        <f>D19</f>
        <v>80730</v>
      </c>
      <c r="H24" s="309"/>
      <c r="I24" s="309"/>
      <c r="J24" s="309"/>
      <c r="K24" s="309"/>
      <c r="L24" s="309"/>
      <c r="M24" s="309"/>
      <c r="N24" s="309"/>
      <c r="O24" s="309"/>
      <c r="P24" s="309"/>
      <c r="Q24" s="309"/>
    </row>
    <row r="25" spans="1:17">
      <c r="A25" s="309"/>
      <c r="B25" s="318"/>
      <c r="C25" s="319" t="s">
        <v>154</v>
      </c>
      <c r="D25" s="372">
        <f>E24+D24</f>
        <v>9074239.9999999721</v>
      </c>
      <c r="E25" s="372"/>
      <c r="F25" s="369" t="s">
        <v>155</v>
      </c>
      <c r="G25" s="373" t="e">
        <f>G23/G24</f>
        <v>#DIV/0!</v>
      </c>
      <c r="H25" s="309"/>
      <c r="I25" s="309"/>
      <c r="J25" s="309"/>
      <c r="K25" s="309"/>
      <c r="L25" s="309"/>
      <c r="M25" s="309"/>
      <c r="N25" s="309"/>
      <c r="O25" s="309"/>
      <c r="P25" s="309"/>
      <c r="Q25" s="309"/>
    </row>
    <row r="26" spans="1:17">
      <c r="A26" s="309"/>
      <c r="B26" s="318"/>
      <c r="C26" s="355" t="s">
        <v>156</v>
      </c>
      <c r="D26" s="374">
        <v>0.87</v>
      </c>
      <c r="E26" s="375"/>
      <c r="F26" s="376" t="s">
        <v>157</v>
      </c>
      <c r="G26" s="377">
        <f>ROUND(IF(D26&gt;=0.95,"0.05",D26-0.9)*100,0)</f>
        <v>-3</v>
      </c>
      <c r="H26" s="309"/>
      <c r="I26" s="309"/>
      <c r="J26" s="309"/>
      <c r="K26" s="309"/>
      <c r="L26" s="309"/>
      <c r="M26" s="309"/>
      <c r="N26" s="309"/>
      <c r="O26" s="309"/>
      <c r="P26" s="309"/>
      <c r="Q26" s="309"/>
    </row>
    <row r="27" spans="1:17">
      <c r="A27" s="309"/>
      <c r="B27" s="378" t="s">
        <v>158</v>
      </c>
      <c r="C27" s="338"/>
      <c r="D27" s="339" t="s">
        <v>159</v>
      </c>
      <c r="E27" s="339" t="s">
        <v>160</v>
      </c>
      <c r="F27" s="339" t="s">
        <v>161</v>
      </c>
      <c r="G27" s="379"/>
      <c r="H27" s="309"/>
      <c r="I27" s="309"/>
      <c r="J27" s="309"/>
      <c r="K27" s="309"/>
      <c r="L27" s="309"/>
      <c r="M27" s="309"/>
      <c r="N27" s="309"/>
      <c r="O27" s="309"/>
      <c r="P27" s="309"/>
      <c r="Q27" s="309"/>
    </row>
    <row r="28" spans="1:17">
      <c r="A28" s="309" t="s">
        <v>162</v>
      </c>
      <c r="B28" s="380"/>
      <c r="C28" s="319" t="s">
        <v>163</v>
      </c>
      <c r="D28" s="381">
        <f>G8</f>
        <v>41095079</v>
      </c>
      <c r="E28" s="381">
        <f>C31+D31+E31</f>
        <v>7680793478</v>
      </c>
      <c r="F28" s="382">
        <f>E28/D28</f>
        <v>186.90299823976491</v>
      </c>
      <c r="G28" s="383" t="s">
        <v>164</v>
      </c>
      <c r="H28" s="309"/>
      <c r="I28" s="309"/>
      <c r="J28" s="309"/>
      <c r="K28" s="309"/>
      <c r="L28" s="309"/>
      <c r="M28" s="309"/>
      <c r="N28" s="309"/>
      <c r="O28" s="309"/>
      <c r="P28" s="309"/>
      <c r="Q28" s="309"/>
    </row>
    <row r="29" spans="1:17">
      <c r="A29" s="309"/>
      <c r="B29" s="384"/>
      <c r="C29" s="355" t="s">
        <v>165</v>
      </c>
      <c r="D29" s="356">
        <v>55020885</v>
      </c>
      <c r="E29" s="356">
        <v>9000483853</v>
      </c>
      <c r="F29" s="382">
        <v>134.04940779692924</v>
      </c>
      <c r="G29" s="385">
        <v>10000</v>
      </c>
      <c r="H29" s="309"/>
      <c r="I29" s="309"/>
      <c r="J29" s="309"/>
      <c r="K29" s="309"/>
      <c r="L29" s="309"/>
      <c r="M29" s="309"/>
      <c r="N29" s="309"/>
      <c r="O29" s="309"/>
      <c r="P29" s="309"/>
      <c r="Q29" s="309"/>
    </row>
    <row r="30" spans="1:17">
      <c r="A30" s="309"/>
      <c r="B30" s="386" t="s">
        <v>166</v>
      </c>
      <c r="C30" s="338" t="s">
        <v>167</v>
      </c>
      <c r="D30" s="387" t="s">
        <v>168</v>
      </c>
      <c r="E30" s="339" t="s">
        <v>169</v>
      </c>
      <c r="F30" s="339" t="s">
        <v>170</v>
      </c>
      <c r="G30" s="379" t="s">
        <v>171</v>
      </c>
      <c r="H30" s="388"/>
      <c r="I30" s="309"/>
      <c r="J30" s="309"/>
      <c r="K30" s="309"/>
      <c r="L30" s="309"/>
      <c r="M30" s="309"/>
      <c r="N30" s="309"/>
      <c r="O30" s="309"/>
      <c r="P30" s="309"/>
      <c r="Q30" s="309"/>
    </row>
    <row r="31" spans="1:17">
      <c r="A31" s="309"/>
      <c r="B31" s="389">
        <f>G31-F31-G29</f>
        <v>7680793475</v>
      </c>
      <c r="C31" s="390">
        <f>G10+G12+G11+G13</f>
        <v>6728784800</v>
      </c>
      <c r="D31" s="391">
        <f>G20</f>
        <v>750079348</v>
      </c>
      <c r="E31" s="391">
        <f>ROUNDDOWN((C31+D31+D32)*0.027,-1)</f>
        <v>201929330</v>
      </c>
      <c r="F31" s="391">
        <f>ROUND((C31+D31+D32)/10,0)</f>
        <v>747886415</v>
      </c>
      <c r="G31" s="392">
        <f>ROUNDDOWN(F31+E31+D31+C31+G29+D32,-1)</f>
        <v>8428689890</v>
      </c>
      <c r="H31" s="393"/>
      <c r="I31" s="353"/>
      <c r="J31" s="394"/>
      <c r="K31" s="353"/>
      <c r="L31" s="309"/>
      <c r="M31" s="309"/>
      <c r="N31" s="309"/>
      <c r="O31" s="309"/>
      <c r="P31" s="309"/>
      <c r="Q31" s="309"/>
    </row>
    <row r="32" spans="1:17">
      <c r="A32" s="309"/>
      <c r="C32" s="395" t="s">
        <v>172</v>
      </c>
      <c r="D32" s="395"/>
      <c r="E32" s="395"/>
      <c r="F32" s="395"/>
      <c r="G32" s="396"/>
      <c r="H32" s="393"/>
      <c r="I32" s="353"/>
      <c r="J32" s="394"/>
      <c r="K32" s="353"/>
      <c r="L32" s="309"/>
      <c r="M32" s="309"/>
      <c r="N32" s="309"/>
      <c r="O32" s="309"/>
      <c r="P32" s="309"/>
      <c r="Q32" s="309"/>
    </row>
    <row r="33" spans="1:17">
      <c r="A33" s="309"/>
      <c r="B33" s="309"/>
      <c r="D33" s="309"/>
      <c r="E33" s="397"/>
      <c r="F33" s="353"/>
      <c r="G33" s="368"/>
      <c r="H33" s="309"/>
      <c r="I33" s="309"/>
      <c r="J33" s="309"/>
      <c r="K33" s="309"/>
      <c r="L33" s="309"/>
      <c r="M33" s="309"/>
      <c r="N33" s="309"/>
      <c r="O33" s="309"/>
      <c r="P33" s="309"/>
      <c r="Q33" s="309"/>
    </row>
    <row r="34" spans="1:17" ht="17.25">
      <c r="A34" s="309"/>
      <c r="B34" s="309"/>
      <c r="C34" s="398" t="s">
        <v>173</v>
      </c>
      <c r="D34" s="399">
        <f>D31+C31</f>
        <v>7478864148</v>
      </c>
      <c r="E34" s="400"/>
      <c r="F34" s="353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</row>
    <row r="35" spans="1:17">
      <c r="A35" s="309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</row>
    <row r="36" spans="1:17">
      <c r="A36" s="309"/>
      <c r="B36" s="309"/>
      <c r="C36" s="401" t="s">
        <v>174</v>
      </c>
      <c r="D36" s="402">
        <v>0.92</v>
      </c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</row>
    <row r="37" spans="1:17">
      <c r="A37" s="309"/>
      <c r="B37" s="309"/>
      <c r="C37" s="401" t="s">
        <v>175</v>
      </c>
      <c r="D37" s="309">
        <v>0.2</v>
      </c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</row>
    <row r="38" spans="1:17">
      <c r="A38" s="309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</row>
    <row r="39" spans="1:17">
      <c r="A39" s="309"/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</row>
    <row r="40" spans="1:17">
      <c r="A40" s="309"/>
      <c r="B40" s="309"/>
      <c r="C40" s="401" t="s">
        <v>176</v>
      </c>
      <c r="D40" s="403">
        <v>90678</v>
      </c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</row>
    <row r="41" spans="1:17">
      <c r="A41" s="309"/>
      <c r="B41" s="309"/>
      <c r="C41" s="401" t="s">
        <v>177</v>
      </c>
      <c r="D41" s="403">
        <v>90678</v>
      </c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</row>
    <row r="42" spans="1:17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</row>
    <row r="43" spans="1:17">
      <c r="A43" s="309"/>
      <c r="B43" s="309"/>
      <c r="C43" s="309"/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</row>
    <row r="44" spans="1:17">
      <c r="A44" s="309"/>
      <c r="B44" s="309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</row>
  </sheetData>
  <mergeCells count="9">
    <mergeCell ref="B27:B29"/>
    <mergeCell ref="B2:G2"/>
    <mergeCell ref="C4:G4"/>
    <mergeCell ref="B5:B10"/>
    <mergeCell ref="B14:B19"/>
    <mergeCell ref="F14:G14"/>
    <mergeCell ref="B21:B26"/>
    <mergeCell ref="D25:E25"/>
    <mergeCell ref="D26:E26"/>
  </mergeCells>
  <phoneticPr fontId="2" type="noConversion"/>
  <hyperlinks>
    <hyperlink ref="I8" r:id="rId1" display="https://partners.kepco.co.kr/attache/updown/module/fileDownload.jsp?fileNm=2026/GM/COM/CT20/EB1861CE-7442-0F0A-C5C4-A909922F1855.pdf&amp;fileOrg=%EC%9A%94%EA%B8%88%EC%97%85%EB%AC%B4%EC%B2%98%EB%A6%AC%EC%A7%80%EC%B9%A8(%EC%A0%9C11%ED%98%B82026-01-21_%EC%8B%9C%ED%96%89)_ESS%EC%9A%94%EA%B8%88%EC%A0%9C_%EB%B0%9C%EC%B7%8C.pdf&amp;_StartOffset=0&amp;_EndOffset=264552" xr:uid="{439571FF-7CA5-4DD0-AA88-7CE94138698A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7월 전력월보</vt:lpstr>
      <vt:lpstr>합성계량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SSCEM</dc:creator>
  <cp:lastModifiedBy>SSCEM</cp:lastModifiedBy>
  <dcterms:created xsi:type="dcterms:W3CDTF">2026-08-04T00:14:59Z</dcterms:created>
  <dcterms:modified xsi:type="dcterms:W3CDTF">2026-08-04T00:19:34Z</dcterms:modified>
</cp:coreProperties>
</file>